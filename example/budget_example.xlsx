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⚙️ Настройки" sheetId="1" state="visible" r:id="rId1"/>
    <sheet name="📋 Транзакции" sheetId="2" state="visible" r:id="rId2"/>
    <sheet name="📊 Сводка" sheetId="3" state="visible" r:id="rId3"/>
    <sheet name="📅 Платежи" sheetId="4" state="visible" r:id="rId4"/>
    <sheet name="💳 Кредиты" sheetId="5" state="visible" r:id="rId5"/>
    <sheet name="📈 Капитал" sheetId="6" state="visible" r:id="rId6"/>
  </sheets>
  <externalReferences>
    <externalReference r:id="rId7"/>
  </externalReferences>
  <definedNames/>
  <calcPr calcId="124519" fullCalcOnLoad="1" refMode="A1" iterate="0" iterateCount="100" iterateDelta="0"/>
</workbook>
</file>

<file path=xl/styles.xml><?xml version="1.0" encoding="utf-8"?>
<styleSheet xmlns="http://schemas.openxmlformats.org/spreadsheetml/2006/main">
  <numFmts count="5">
    <numFmt numFmtId="164" formatCode="#,##0&quot; ₽&quot;;\(#,##0&quot; ₽)&quot;;\-"/>
    <numFmt numFmtId="165" formatCode="0.0%"/>
    <numFmt numFmtId="166" formatCode="mm/dd/yy"/>
    <numFmt numFmtId="167" formatCode="yyyy\-mm\-dd"/>
    <numFmt numFmtId="168" formatCode="dd\.mm\.yyyy"/>
  </numFmts>
  <fonts count="3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C2833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1C2833"/>
      <sz val="10"/>
    </font>
    <font>
      <name val="Arial"/>
      <charset val="1"/>
      <family val="0"/>
      <color rgb="FF008000"/>
      <sz val="10"/>
    </font>
    <font>
      <name val="Cambria"/>
      <charset val="1"/>
      <family val="0"/>
      <b val="1"/>
      <sz val="11"/>
    </font>
    <font>
      <name val="Cambria"/>
      <charset val="1"/>
      <family val="0"/>
      <sz val="11"/>
    </font>
    <font>
      <name val="Cambria"/>
      <charset val="1"/>
      <family val="0"/>
      <color rgb="FF606060"/>
      <sz val="11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i val="1"/>
      <color rgb="FF999999"/>
      <sz val="11"/>
    </font>
    <font>
      <name val="Cambria"/>
      <charset val="1"/>
      <family val="0"/>
      <color rgb="FF008000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b val="1"/>
      <color rgb="FF1F4E79"/>
      <sz val="11"/>
    </font>
    <font>
      <name val="Cambria"/>
      <charset val="1"/>
      <family val="0"/>
      <i val="1"/>
      <color rgb="FF606060"/>
      <sz val="11"/>
    </font>
    <font>
      <name val="Cambria"/>
      <charset val="1"/>
      <family val="0"/>
      <i val="1"/>
      <color rgb="FF999999"/>
      <sz val="9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70C0"/>
      <sz val="11"/>
    </font>
    <font>
      <name val="Cambria"/>
      <charset val="1"/>
      <family val="0"/>
      <color rgb="FF00B050"/>
      <sz val="11"/>
    </font>
    <font>
      <name val="Cambria"/>
      <charset val="1"/>
      <family val="0"/>
      <i val="1"/>
      <color rgb="FF00B050"/>
      <sz val="11"/>
    </font>
    <font>
      <name val="Cambria"/>
      <charset val="1"/>
      <family val="0"/>
      <i val="1"/>
      <color rgb="FF808080"/>
      <sz val="9"/>
    </font>
    <font>
      <name val="Arial"/>
      <charset val="204"/>
      <family val="2"/>
      <color rgb="FF0000FF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000000"/>
      <sz val="10"/>
    </font>
    <font>
      <name val="Arial"/>
      <charset val="204"/>
      <family val="2"/>
      <b val="1"/>
      <color rgb="FF0000FF"/>
      <sz val="10"/>
    </font>
    <font>
      <name val="Arial"/>
      <charset val="1"/>
      <family val="0"/>
      <i val="1"/>
      <color rgb="FF99999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00000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555555"/>
      <sz val="10"/>
    </font>
    <font>
      <name val="Calibri"/>
      <charset val="204"/>
      <family val="2"/>
      <color theme="1"/>
      <sz val="11"/>
    </font>
    <font>
      <name val="Arial"/>
      <charset val="1"/>
      <family val="0"/>
      <i val="1"/>
      <color rgb="FF1C2833"/>
      <sz val="9"/>
    </font>
    <font>
      <name val="Arial"/>
      <charset val="1"/>
      <family val="0"/>
      <i val="1"/>
      <color rgb="FF0000FF"/>
      <sz val="10"/>
    </font>
    <font>
      <name val="Cambria"/>
      <charset val="1"/>
      <family val="0"/>
      <i val="1"/>
      <color rgb="FF808080"/>
      <sz val="11"/>
    </font>
  </fonts>
  <fills count="19">
    <fill>
      <patternFill/>
    </fill>
    <fill>
      <patternFill patternType="gray125"/>
    </fill>
    <fill>
      <patternFill patternType="solid">
        <fgColor rgb="FF1C2833"/>
        <bgColor rgb="FF2E4057"/>
      </patternFill>
    </fill>
    <fill>
      <patternFill patternType="solid">
        <fgColor rgb="FF2E4057"/>
        <bgColor rgb="FF1F4E79"/>
      </patternFill>
    </fill>
    <fill>
      <patternFill patternType="solid">
        <fgColor rgb="FFFAFAFA"/>
        <bgColor rgb="FFFFFFFF"/>
      </patternFill>
    </fill>
    <fill>
      <patternFill patternType="solid">
        <fgColor rgb="FFEAF4F4"/>
        <bgColor rgb="FFF2F2F2"/>
      </patternFill>
    </fill>
    <fill>
      <patternFill patternType="solid">
        <fgColor rgb="FF048A81"/>
        <bgColor rgb="FF008080"/>
      </patternFill>
    </fill>
    <fill>
      <patternFill patternType="solid">
        <fgColor rgb="FFFFFFFF"/>
        <bgColor rgb="FFFAFAFA"/>
      </patternFill>
    </fill>
    <fill>
      <patternFill patternType="solid">
        <fgColor rgb="FFF2F2F2"/>
        <bgColor rgb="FFEAF4F4"/>
      </patternFill>
    </fill>
    <fill>
      <patternFill patternType="solid">
        <fgColor rgb="FFD6E4BC"/>
        <bgColor rgb="FFD7E4BD"/>
      </patternFill>
    </fill>
    <fill>
      <patternFill patternType="solid">
        <fgColor rgb="FFDDEEFF"/>
        <bgColor rgb="FFEAF4F4"/>
      </patternFill>
    </fill>
    <fill>
      <patternFill patternType="solid">
        <fgColor rgb="FFE2EFDA"/>
        <bgColor rgb="FFD4EDDA"/>
      </patternFill>
    </fill>
    <fill>
      <patternFill patternType="solid">
        <fgColor rgb="FF00B050"/>
        <bgColor rgb="FF048A81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D4EDDA"/>
        <bgColor rgb="FFE2EFDA"/>
      </patternFill>
    </fill>
    <fill>
      <patternFill patternType="solid">
        <fgColor rgb="FFF8D7DA"/>
        <bgColor rgb="FFE2EFDA"/>
      </patternFill>
    </fill>
    <fill>
      <patternFill patternType="solid">
        <fgColor rgb="FFFFF3CD"/>
        <bgColor rgb="FFF2F2F2"/>
      </patternFill>
    </fill>
    <fill>
      <patternFill patternType="solid">
        <fgColor theme="6" tint="0.6"/>
        <bgColor rgb="FFD6E4BC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/>
      <right style="thin"/>
      <top style="thin"/>
      <bottom style="thin"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" fontId="7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8" fillId="8" borderId="1" applyAlignment="1" pivotButton="0" quotePrefix="0" xfId="0">
      <alignment horizontal="left" vertical="center"/>
    </xf>
    <xf numFmtId="0" fontId="10" fillId="9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49" fontId="13" fillId="1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6" fillId="11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12" borderId="0" applyAlignment="1" pivotButton="0" quotePrefix="0" xfId="0">
      <alignment horizontal="general" vertical="bottom"/>
    </xf>
    <xf numFmtId="49" fontId="21" fillId="1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20" fillId="14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7" fontId="0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167" fontId="4" fillId="2" borderId="4" applyAlignment="1" pivotButton="0" quotePrefix="0" xfId="0">
      <alignment horizontal="center" vertical="center"/>
    </xf>
    <xf numFmtId="167" fontId="5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167" fontId="7" fillId="5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right" vertical="center"/>
    </xf>
    <xf numFmtId="0" fontId="7" fillId="5" borderId="4" applyAlignment="1" pivotButton="0" quotePrefix="0" xfId="0">
      <alignment horizontal="left" vertical="center"/>
    </xf>
    <xf numFmtId="0" fontId="7" fillId="5" borderId="4" applyAlignment="1" pivotButton="0" quotePrefix="0" xfId="0">
      <alignment horizontal="center" vertical="center"/>
    </xf>
    <xf numFmtId="0" fontId="25" fillId="5" borderId="4" applyAlignment="1" pivotButton="0" quotePrefix="0" xfId="0">
      <alignment horizontal="center" vertical="center"/>
    </xf>
    <xf numFmtId="164" fontId="7" fillId="5" borderId="4" applyAlignment="1" pivotButton="0" quotePrefix="0" xfId="0">
      <alignment horizontal="right" vertical="center"/>
    </xf>
    <xf numFmtId="164" fontId="9" fillId="8" borderId="4" applyAlignment="1" pivotButton="0" quotePrefix="0" xfId="0">
      <alignment horizontal="right" vertical="center"/>
    </xf>
    <xf numFmtId="167" fontId="26" fillId="5" borderId="4" applyAlignment="1" pivotButton="0" quotePrefix="0" xfId="0">
      <alignment horizontal="center" vertical="center"/>
    </xf>
    <xf numFmtId="0" fontId="26" fillId="5" borderId="4" applyAlignment="1" pivotButton="0" quotePrefix="0" xfId="0">
      <alignment horizontal="left" vertical="center"/>
    </xf>
    <xf numFmtId="0" fontId="26" fillId="5" borderId="4" applyAlignment="1" pivotButton="0" quotePrefix="0" xfId="0">
      <alignment horizontal="center" vertical="center"/>
    </xf>
    <xf numFmtId="164" fontId="26" fillId="5" borderId="4" applyAlignment="1" pivotButton="0" quotePrefix="0" xfId="0">
      <alignment horizontal="right" vertical="center"/>
    </xf>
    <xf numFmtId="167" fontId="26" fillId="5" borderId="4" applyAlignment="1" pivotButton="0" quotePrefix="0" xfId="0">
      <alignment horizontal="general" vertical="bottom"/>
    </xf>
    <xf numFmtId="0" fontId="26" fillId="5" borderId="4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5" fillId="7" borderId="4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49" fontId="28" fillId="5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right" vertical="center"/>
    </xf>
    <xf numFmtId="0" fontId="30" fillId="7" borderId="1" applyAlignment="1" pivotButton="0" quotePrefix="0" xfId="0">
      <alignment horizontal="left" vertical="center"/>
    </xf>
    <xf numFmtId="0" fontId="27" fillId="15" borderId="1" applyAlignment="1" pivotButton="0" quotePrefix="0" xfId="0">
      <alignment horizontal="left" vertical="center"/>
    </xf>
    <xf numFmtId="164" fontId="27" fillId="15" borderId="1" applyAlignment="1" pivotButton="0" quotePrefix="0" xfId="0">
      <alignment horizontal="right" vertical="center"/>
    </xf>
    <xf numFmtId="0" fontId="30" fillId="1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left" vertical="center"/>
    </xf>
    <xf numFmtId="164" fontId="15" fillId="7" borderId="1" applyAlignment="1" pivotButton="0" quotePrefix="0" xfId="0">
      <alignment horizontal="right" vertical="center"/>
    </xf>
    <xf numFmtId="165" fontId="15" fillId="7" borderId="1" applyAlignment="1" pivotButton="0" quotePrefix="0" xfId="0">
      <alignment horizontal="right" vertical="center"/>
    </xf>
    <xf numFmtId="0" fontId="26" fillId="8" borderId="1" applyAlignment="1" pivotButton="0" quotePrefix="0" xfId="0">
      <alignment horizontal="left" vertical="center"/>
    </xf>
    <xf numFmtId="164" fontId="15" fillId="8" borderId="1" applyAlignment="1" pivotButton="0" quotePrefix="0" xfId="0">
      <alignment horizontal="right" vertical="center"/>
    </xf>
    <xf numFmtId="165" fontId="15" fillId="8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15" fillId="6" borderId="1" applyAlignment="1" pivotButton="0" quotePrefix="0" xfId="0">
      <alignment horizontal="right" vertical="center"/>
    </xf>
    <xf numFmtId="165" fontId="15" fillId="6" borderId="1" applyAlignment="1" pivotButton="0" quotePrefix="0" xfId="0">
      <alignment horizontal="right" vertical="center"/>
    </xf>
    <xf numFmtId="164" fontId="30" fillId="15" borderId="1" applyAlignment="1" pivotButton="0" quotePrefix="0" xfId="0">
      <alignment horizontal="right" vertical="center"/>
    </xf>
    <xf numFmtId="0" fontId="30" fillId="16" borderId="1" applyAlignment="1" pivotButton="0" quotePrefix="0" xfId="0">
      <alignment horizontal="left" vertical="center"/>
    </xf>
    <xf numFmtId="164" fontId="30" fillId="16" borderId="1" applyAlignment="1" pivotButton="0" quotePrefix="0" xfId="0">
      <alignment horizontal="right" vertical="center"/>
    </xf>
    <xf numFmtId="0" fontId="27" fillId="17" borderId="1" applyAlignment="1" pivotButton="0" quotePrefix="0" xfId="0">
      <alignment horizontal="left" vertical="center"/>
    </xf>
    <xf numFmtId="164" fontId="27" fillId="17" borderId="1" applyAlignment="1" pivotButton="0" quotePrefix="0" xfId="0">
      <alignment horizontal="right" vertical="center"/>
    </xf>
    <xf numFmtId="0" fontId="30" fillId="17" borderId="1" applyAlignment="1" pivotButton="0" quotePrefix="0" xfId="0">
      <alignment horizontal="left" vertical="center"/>
    </xf>
    <xf numFmtId="164" fontId="30" fillId="8" borderId="1" applyAlignment="1" pivotButton="0" quotePrefix="0" xfId="0">
      <alignment horizontal="right" vertical="center"/>
    </xf>
    <xf numFmtId="0" fontId="27" fillId="6" borderId="1" applyAlignment="1" pivotButton="0" quotePrefix="0" xfId="0">
      <alignment horizontal="left" vertical="center"/>
    </xf>
    <xf numFmtId="0" fontId="30" fillId="6" borderId="1" applyAlignment="1" pivotButton="0" quotePrefix="0" xfId="0">
      <alignment horizontal="left" vertical="center"/>
    </xf>
    <xf numFmtId="165" fontId="30" fillId="8" borderId="1" applyAlignment="1" pivotButton="0" quotePrefix="0" xfId="0">
      <alignment horizontal="right" vertical="center"/>
    </xf>
    <xf numFmtId="0" fontId="31" fillId="17" borderId="1" applyAlignment="1" pivotButton="0" quotePrefix="0" xfId="0">
      <alignment horizontal="left" vertical="center"/>
    </xf>
    <xf numFmtId="0" fontId="32" fillId="2" borderId="4" applyAlignment="1" pivotButton="0" quotePrefix="0" xfId="0">
      <alignment horizontal="center" vertical="center"/>
    </xf>
    <xf numFmtId="0" fontId="33" fillId="6" borderId="4" applyAlignment="1" pivotButton="0" quotePrefix="0" xfId="0">
      <alignment horizontal="center" vertical="center"/>
    </xf>
    <xf numFmtId="0" fontId="6" fillId="7" borderId="4" applyAlignment="1" pivotButton="0" quotePrefix="0" xfId="0">
      <alignment horizontal="left" vertical="center"/>
    </xf>
    <xf numFmtId="0" fontId="34" fillId="7" borderId="4" applyAlignment="1" pivotButton="0" quotePrefix="0" xfId="0">
      <alignment horizontal="center" vertical="center"/>
    </xf>
    <xf numFmtId="164" fontId="8" fillId="7" borderId="4" applyAlignment="1" pivotButton="0" quotePrefix="0" xfId="0">
      <alignment horizontal="right" vertical="center"/>
    </xf>
    <xf numFmtId="0" fontId="8" fillId="7" borderId="4" applyAlignment="1" pivotButton="0" quotePrefix="0" xfId="0">
      <alignment horizontal="center" vertical="center"/>
    </xf>
    <xf numFmtId="0" fontId="34" fillId="7" borderId="4" applyAlignment="1" pivotButton="0" quotePrefix="0" xfId="0">
      <alignment horizontal="left" vertical="center"/>
    </xf>
    <xf numFmtId="0" fontId="35" fillId="5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/>
    </xf>
    <xf numFmtId="0" fontId="34" fillId="8" borderId="4" applyAlignment="1" pivotButton="0" quotePrefix="0" xfId="0">
      <alignment horizontal="center" vertical="center"/>
    </xf>
    <xf numFmtId="164" fontId="8" fillId="8" borderId="4" applyAlignment="1" pivotButton="0" quotePrefix="0" xfId="0">
      <alignment horizontal="right" vertical="center"/>
    </xf>
    <xf numFmtId="0" fontId="8" fillId="8" borderId="4" applyAlignment="1" pivotButton="0" quotePrefix="0" xfId="0">
      <alignment horizontal="center" vertical="center"/>
    </xf>
    <xf numFmtId="0" fontId="34" fillId="8" borderId="4" applyAlignment="1" pivotButton="0" quotePrefix="0" xfId="0">
      <alignment horizontal="left" vertical="center"/>
    </xf>
    <xf numFmtId="0" fontId="0" fillId="5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right" vertical="center"/>
    </xf>
    <xf numFmtId="164" fontId="0" fillId="0" borderId="0" applyAlignment="1" pivotButton="0" quotePrefix="0" xfId="0">
      <alignment horizontal="general" vertical="bottom"/>
    </xf>
    <xf numFmtId="0" fontId="16" fillId="0" borderId="4" applyAlignment="1" pivotButton="0" quotePrefix="0" xfId="0">
      <alignment horizontal="general" vertical="bottom"/>
    </xf>
    <xf numFmtId="0" fontId="33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right" vertical="center"/>
    </xf>
    <xf numFmtId="164" fontId="16" fillId="3" borderId="4" applyAlignment="1" pivotButton="0" quotePrefix="0" xfId="0">
      <alignment horizontal="right" vertical="center"/>
    </xf>
    <xf numFmtId="0" fontId="0" fillId="3" borderId="4" applyAlignment="1" pivotButton="0" quotePrefix="0" xfId="0">
      <alignment horizontal="general" vertical="bottom"/>
    </xf>
    <xf numFmtId="0" fontId="33" fillId="2" borderId="4" applyAlignment="1" pivotButton="0" quotePrefix="0" xfId="0">
      <alignment horizontal="right" vertical="center"/>
    </xf>
    <xf numFmtId="164" fontId="16" fillId="2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general" vertical="bottom"/>
    </xf>
    <xf numFmtId="0" fontId="36" fillId="17" borderId="4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164" fontId="25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5" fontId="25" fillId="5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8" fillId="17" borderId="1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6" fillId="18" borderId="4" applyAlignment="1" pivotButton="0" quotePrefix="0" xfId="0">
      <alignment horizontal="center" vertical="center"/>
    </xf>
    <xf numFmtId="164" fontId="7" fillId="18" borderId="4" applyAlignment="1" pivotButton="0" quotePrefix="0" xfId="0">
      <alignment horizontal="center" vertical="center"/>
    </xf>
    <xf numFmtId="164" fontId="30" fillId="18" borderId="4" applyAlignment="1" pivotButton="0" quotePrefix="0" xfId="0">
      <alignment horizontal="center" vertical="center"/>
    </xf>
    <xf numFmtId="164" fontId="15" fillId="18" borderId="4" applyAlignment="1" pivotButton="0" quotePrefix="0" xfId="0">
      <alignment horizontal="center" vertical="center"/>
    </xf>
    <xf numFmtId="165" fontId="30" fillId="18" borderId="4" applyAlignment="1" pivotButton="0" quotePrefix="0" xfId="0">
      <alignment horizontal="center" vertical="center"/>
    </xf>
    <xf numFmtId="0" fontId="37" fillId="18" borderId="4" applyAlignment="1" pivotButton="0" quotePrefix="0" xfId="0">
      <alignment horizontal="center" vertical="center"/>
    </xf>
    <xf numFmtId="0" fontId="0" fillId="18" borderId="4" applyAlignment="1" pivotButton="0" quotePrefix="0" xfId="0">
      <alignment horizontal="center" vertical="center"/>
    </xf>
    <xf numFmtId="164" fontId="9" fillId="18" borderId="4" applyAlignment="1" pivotButton="0" quotePrefix="0" xfId="0">
      <alignment horizontal="center" vertical="center"/>
    </xf>
    <xf numFmtId="165" fontId="9" fillId="18" borderId="4" applyAlignment="1" pivotButton="0" quotePrefix="0" xfId="0">
      <alignment horizontal="center" vertical="center"/>
    </xf>
    <xf numFmtId="164" fontId="26" fillId="18" borderId="4" applyAlignment="1" pivotButton="0" quotePrefix="0" xfId="0">
      <alignment horizontal="center" vertical="center"/>
    </xf>
    <xf numFmtId="164" fontId="15" fillId="5" borderId="4" applyAlignment="1" pivotButton="0" quotePrefix="0" xfId="0">
      <alignment horizontal="center" vertical="center"/>
    </xf>
    <xf numFmtId="164" fontId="7" fillId="5" borderId="4" applyAlignment="1" pivotButton="0" quotePrefix="0" xfId="0">
      <alignment horizontal="center" vertical="center"/>
    </xf>
    <xf numFmtId="164" fontId="15" fillId="7" borderId="4" applyAlignment="1" pivotButton="0" quotePrefix="0" xfId="0">
      <alignment horizontal="center" vertical="center"/>
    </xf>
    <xf numFmtId="164" fontId="26" fillId="5" borderId="4" applyAlignment="1" pivotButton="0" quotePrefix="0" xfId="0">
      <alignment horizontal="center" vertical="center"/>
    </xf>
    <xf numFmtId="164" fontId="15" fillId="15" borderId="4" applyAlignment="1" pivotButton="0" quotePrefix="0" xfId="0">
      <alignment horizontal="center" vertical="center"/>
    </xf>
    <xf numFmtId="165" fontId="15" fillId="7" borderId="4" applyAlignment="1" pivotButton="0" quotePrefix="0" xfId="0">
      <alignment horizontal="center" vertical="center"/>
    </xf>
    <xf numFmtId="0" fontId="38" fillId="5" borderId="4" applyAlignment="1" pivotButton="0" quotePrefix="0" xfId="0">
      <alignment horizontal="center" vertical="center"/>
    </xf>
    <xf numFmtId="164" fontId="15" fillId="8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164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38" fillId="0" borderId="4" applyAlignment="1" pivotButton="0" quotePrefix="0" xfId="0">
      <alignment horizontal="center" vertical="center"/>
    </xf>
    <xf numFmtId="0" fontId="26" fillId="17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" fontId="7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general" vertical="bottom"/>
    </xf>
    <xf numFmtId="0" fontId="8" fillId="8" borderId="1" applyAlignment="1" pivotButton="0" quotePrefix="0" xfId="0">
      <alignment horizontal="left" vertical="center"/>
    </xf>
    <xf numFmtId="0" fontId="10" fillId="9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49" fontId="13" fillId="1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6" fillId="11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12" borderId="0" applyAlignment="1" pivotButton="0" quotePrefix="0" xfId="0">
      <alignment horizontal="general" vertical="bottom"/>
    </xf>
    <xf numFmtId="49" fontId="21" fillId="1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20" fillId="14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167" fontId="0" fillId="0" borderId="4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167" fontId="4" fillId="2" borderId="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7" fontId="5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167" fontId="7" fillId="5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right" vertical="center"/>
    </xf>
    <xf numFmtId="0" fontId="7" fillId="5" borderId="4" applyAlignment="1" pivotButton="0" quotePrefix="0" xfId="0">
      <alignment horizontal="left" vertical="center"/>
    </xf>
    <xf numFmtId="0" fontId="7" fillId="5" borderId="4" applyAlignment="1" pivotButton="0" quotePrefix="0" xfId="0">
      <alignment horizontal="center" vertical="center"/>
    </xf>
    <xf numFmtId="0" fontId="25" fillId="5" borderId="4" applyAlignment="1" pivotButton="0" quotePrefix="0" xfId="0">
      <alignment horizontal="center" vertical="center"/>
    </xf>
    <xf numFmtId="164" fontId="7" fillId="5" borderId="4" applyAlignment="1" pivotButton="0" quotePrefix="0" xfId="0">
      <alignment horizontal="right" vertical="center"/>
    </xf>
    <xf numFmtId="164" fontId="9" fillId="8" borderId="4" applyAlignment="1" pivotButton="0" quotePrefix="0" xfId="0">
      <alignment horizontal="right" vertical="center"/>
    </xf>
    <xf numFmtId="167" fontId="26" fillId="5" borderId="4" applyAlignment="1" pivotButton="0" quotePrefix="0" xfId="0">
      <alignment horizontal="center" vertical="center"/>
    </xf>
    <xf numFmtId="0" fontId="26" fillId="5" borderId="4" applyAlignment="1" pivotButton="0" quotePrefix="0" xfId="0">
      <alignment horizontal="left" vertical="center"/>
    </xf>
    <xf numFmtId="0" fontId="26" fillId="5" borderId="4" applyAlignment="1" pivotButton="0" quotePrefix="0" xfId="0">
      <alignment horizontal="center" vertical="center"/>
    </xf>
    <xf numFmtId="164" fontId="26" fillId="5" borderId="4" applyAlignment="1" pivotButton="0" quotePrefix="0" xfId="0">
      <alignment horizontal="right" vertical="center"/>
    </xf>
    <xf numFmtId="167" fontId="26" fillId="5" borderId="4" applyAlignment="1" pivotButton="0" quotePrefix="0" xfId="0">
      <alignment horizontal="general" vertical="bottom"/>
    </xf>
    <xf numFmtId="0" fontId="26" fillId="5" borderId="4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5" fillId="7" borderId="4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49" fontId="28" fillId="5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right" vertical="center"/>
    </xf>
    <xf numFmtId="0" fontId="30" fillId="7" borderId="1" applyAlignment="1" pivotButton="0" quotePrefix="0" xfId="0">
      <alignment horizontal="left" vertical="center"/>
    </xf>
    <xf numFmtId="0" fontId="27" fillId="15" borderId="1" applyAlignment="1" pivotButton="0" quotePrefix="0" xfId="0">
      <alignment horizontal="left" vertical="center"/>
    </xf>
    <xf numFmtId="164" fontId="27" fillId="15" borderId="1" applyAlignment="1" pivotButton="0" quotePrefix="0" xfId="0">
      <alignment horizontal="right" vertical="center"/>
    </xf>
    <xf numFmtId="0" fontId="30" fillId="1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left" vertical="center"/>
    </xf>
    <xf numFmtId="164" fontId="15" fillId="7" borderId="1" applyAlignment="1" pivotButton="0" quotePrefix="0" xfId="0">
      <alignment horizontal="right" vertical="center"/>
    </xf>
    <xf numFmtId="165" fontId="15" fillId="7" borderId="1" applyAlignment="1" pivotButton="0" quotePrefix="0" xfId="0">
      <alignment horizontal="right" vertical="center"/>
    </xf>
    <xf numFmtId="0" fontId="26" fillId="8" borderId="1" applyAlignment="1" pivotButton="0" quotePrefix="0" xfId="0">
      <alignment horizontal="left" vertical="center"/>
    </xf>
    <xf numFmtId="164" fontId="15" fillId="8" borderId="1" applyAlignment="1" pivotButton="0" quotePrefix="0" xfId="0">
      <alignment horizontal="right" vertical="center"/>
    </xf>
    <xf numFmtId="165" fontId="15" fillId="8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15" fillId="6" borderId="1" applyAlignment="1" pivotButton="0" quotePrefix="0" xfId="0">
      <alignment horizontal="right" vertical="center"/>
    </xf>
    <xf numFmtId="165" fontId="15" fillId="6" borderId="1" applyAlignment="1" pivotButton="0" quotePrefix="0" xfId="0">
      <alignment horizontal="right" vertical="center"/>
    </xf>
    <xf numFmtId="164" fontId="30" fillId="15" borderId="1" applyAlignment="1" pivotButton="0" quotePrefix="0" xfId="0">
      <alignment horizontal="right" vertical="center"/>
    </xf>
    <xf numFmtId="0" fontId="30" fillId="16" borderId="1" applyAlignment="1" pivotButton="0" quotePrefix="0" xfId="0">
      <alignment horizontal="left" vertical="center"/>
    </xf>
    <xf numFmtId="164" fontId="30" fillId="16" borderId="1" applyAlignment="1" pivotButton="0" quotePrefix="0" xfId="0">
      <alignment horizontal="right" vertical="center"/>
    </xf>
    <xf numFmtId="0" fontId="27" fillId="17" borderId="1" applyAlignment="1" pivotButton="0" quotePrefix="0" xfId="0">
      <alignment horizontal="left" vertical="center"/>
    </xf>
    <xf numFmtId="164" fontId="27" fillId="17" borderId="1" applyAlignment="1" pivotButton="0" quotePrefix="0" xfId="0">
      <alignment horizontal="right" vertical="center"/>
    </xf>
    <xf numFmtId="0" fontId="30" fillId="17" borderId="1" applyAlignment="1" pivotButton="0" quotePrefix="0" xfId="0">
      <alignment horizontal="left" vertical="center"/>
    </xf>
    <xf numFmtId="164" fontId="30" fillId="8" borderId="1" applyAlignment="1" pivotButton="0" quotePrefix="0" xfId="0">
      <alignment horizontal="right" vertical="center"/>
    </xf>
    <xf numFmtId="0" fontId="27" fillId="6" borderId="1" applyAlignment="1" pivotButton="0" quotePrefix="0" xfId="0">
      <alignment horizontal="left" vertical="center"/>
    </xf>
    <xf numFmtId="0" fontId="30" fillId="6" borderId="1" applyAlignment="1" pivotButton="0" quotePrefix="0" xfId="0">
      <alignment horizontal="left" vertical="center"/>
    </xf>
    <xf numFmtId="165" fontId="30" fillId="8" borderId="1" applyAlignment="1" pivotButton="0" quotePrefix="0" xfId="0">
      <alignment horizontal="right" vertical="center"/>
    </xf>
    <xf numFmtId="0" fontId="31" fillId="17" borderId="1" applyAlignment="1" pivotButton="0" quotePrefix="0" xfId="0">
      <alignment horizontal="left" vertical="center"/>
    </xf>
    <xf numFmtId="0" fontId="32" fillId="2" borderId="4" applyAlignment="1" pivotButton="0" quotePrefix="0" xfId="0">
      <alignment horizontal="center" vertical="center"/>
    </xf>
    <xf numFmtId="0" fontId="33" fillId="6" borderId="4" applyAlignment="1" pivotButton="0" quotePrefix="0" xfId="0">
      <alignment horizontal="center" vertical="center"/>
    </xf>
    <xf numFmtId="0" fontId="6" fillId="7" borderId="4" applyAlignment="1" pivotButton="0" quotePrefix="0" xfId="0">
      <alignment horizontal="left" vertical="center"/>
    </xf>
    <xf numFmtId="0" fontId="34" fillId="7" borderId="4" applyAlignment="1" pivotButton="0" quotePrefix="0" xfId="0">
      <alignment horizontal="center" vertical="center"/>
    </xf>
    <xf numFmtId="164" fontId="8" fillId="7" borderId="4" applyAlignment="1" pivotButton="0" quotePrefix="0" xfId="0">
      <alignment horizontal="right" vertical="center"/>
    </xf>
    <xf numFmtId="0" fontId="8" fillId="7" borderId="4" applyAlignment="1" pivotButton="0" quotePrefix="0" xfId="0">
      <alignment horizontal="center" vertical="center"/>
    </xf>
    <xf numFmtId="0" fontId="34" fillId="7" borderId="4" applyAlignment="1" pivotButton="0" quotePrefix="0" xfId="0">
      <alignment horizontal="left" vertical="center"/>
    </xf>
    <xf numFmtId="0" fontId="35" fillId="5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/>
    </xf>
    <xf numFmtId="0" fontId="34" fillId="8" borderId="4" applyAlignment="1" pivotButton="0" quotePrefix="0" xfId="0">
      <alignment horizontal="center" vertical="center"/>
    </xf>
    <xf numFmtId="164" fontId="8" fillId="8" borderId="4" applyAlignment="1" pivotButton="0" quotePrefix="0" xfId="0">
      <alignment horizontal="right" vertical="center"/>
    </xf>
    <xf numFmtId="0" fontId="8" fillId="8" borderId="4" applyAlignment="1" pivotButton="0" quotePrefix="0" xfId="0">
      <alignment horizontal="center" vertical="center"/>
    </xf>
    <xf numFmtId="0" fontId="34" fillId="8" borderId="4" applyAlignment="1" pivotButton="0" quotePrefix="0" xfId="0">
      <alignment horizontal="left" vertical="center"/>
    </xf>
    <xf numFmtId="0" fontId="0" fillId="5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right" vertical="center"/>
    </xf>
    <xf numFmtId="164" fontId="0" fillId="0" borderId="0" applyAlignment="1" pivotButton="0" quotePrefix="0" xfId="0">
      <alignment horizontal="general" vertical="bottom"/>
    </xf>
    <xf numFmtId="0" fontId="16" fillId="0" borderId="4" applyAlignment="1" pivotButton="0" quotePrefix="0" xfId="0">
      <alignment horizontal="general" vertical="bottom"/>
    </xf>
    <xf numFmtId="0" fontId="33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right" vertical="center"/>
    </xf>
    <xf numFmtId="164" fontId="16" fillId="3" borderId="4" applyAlignment="1" pivotButton="0" quotePrefix="0" xfId="0">
      <alignment horizontal="right" vertical="center"/>
    </xf>
    <xf numFmtId="0" fontId="0" fillId="3" borderId="4" applyAlignment="1" pivotButton="0" quotePrefix="0" xfId="0">
      <alignment horizontal="general" vertical="bottom"/>
    </xf>
    <xf numFmtId="0" fontId="33" fillId="2" borderId="4" applyAlignment="1" pivotButton="0" quotePrefix="0" xfId="0">
      <alignment horizontal="right" vertical="center"/>
    </xf>
    <xf numFmtId="164" fontId="16" fillId="2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general" vertical="bottom"/>
    </xf>
    <xf numFmtId="0" fontId="36" fillId="17" borderId="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8" borderId="1" applyAlignment="1" pivotButton="0" quotePrefix="0" xfId="0">
      <alignment horizontal="left" vertical="center"/>
    </xf>
    <xf numFmtId="164" fontId="25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5" fontId="25" fillId="5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0" fillId="6" borderId="0" applyAlignment="1" pivotButton="0" quotePrefix="0" xfId="0">
      <alignment horizontal="general" vertical="bottom"/>
    </xf>
    <xf numFmtId="0" fontId="8" fillId="17" borderId="1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6" fillId="18" borderId="4" applyAlignment="1" pivotButton="0" quotePrefix="0" xfId="0">
      <alignment horizontal="center" vertical="center"/>
    </xf>
    <xf numFmtId="164" fontId="7" fillId="18" borderId="4" applyAlignment="1" pivotButton="0" quotePrefix="0" xfId="0">
      <alignment horizontal="center" vertical="center"/>
    </xf>
    <xf numFmtId="164" fontId="30" fillId="18" borderId="4" applyAlignment="1" pivotButton="0" quotePrefix="0" xfId="0">
      <alignment horizontal="center" vertical="center"/>
    </xf>
    <xf numFmtId="164" fontId="15" fillId="18" borderId="4" applyAlignment="1" pivotButton="0" quotePrefix="0" xfId="0">
      <alignment horizontal="center" vertical="center"/>
    </xf>
    <xf numFmtId="165" fontId="30" fillId="18" borderId="4" applyAlignment="1" pivotButton="0" quotePrefix="0" xfId="0">
      <alignment horizontal="center" vertical="center"/>
    </xf>
    <xf numFmtId="0" fontId="37" fillId="18" borderId="4" applyAlignment="1" pivotButton="0" quotePrefix="0" xfId="0">
      <alignment horizontal="center" vertical="center"/>
    </xf>
    <xf numFmtId="0" fontId="0" fillId="18" borderId="4" applyAlignment="1" pivotButton="0" quotePrefix="0" xfId="0">
      <alignment horizontal="center" vertical="center"/>
    </xf>
    <xf numFmtId="164" fontId="9" fillId="18" borderId="4" applyAlignment="1" pivotButton="0" quotePrefix="0" xfId="0">
      <alignment horizontal="center" vertical="center"/>
    </xf>
    <xf numFmtId="165" fontId="9" fillId="18" borderId="4" applyAlignment="1" pivotButton="0" quotePrefix="0" xfId="0">
      <alignment horizontal="center" vertical="center"/>
    </xf>
    <xf numFmtId="164" fontId="26" fillId="18" borderId="4" applyAlignment="1" pivotButton="0" quotePrefix="0" xfId="0">
      <alignment horizontal="center" vertical="center"/>
    </xf>
    <xf numFmtId="164" fontId="15" fillId="5" borderId="4" applyAlignment="1" pivotButton="0" quotePrefix="0" xfId="0">
      <alignment horizontal="center" vertical="center"/>
    </xf>
    <xf numFmtId="164" fontId="7" fillId="5" borderId="4" applyAlignment="1" pivotButton="0" quotePrefix="0" xfId="0">
      <alignment horizontal="center" vertical="center"/>
    </xf>
    <xf numFmtId="164" fontId="15" fillId="7" borderId="4" applyAlignment="1" pivotButton="0" quotePrefix="0" xfId="0">
      <alignment horizontal="center" vertical="center"/>
    </xf>
    <xf numFmtId="164" fontId="26" fillId="5" borderId="4" applyAlignment="1" pivotButton="0" quotePrefix="0" xfId="0">
      <alignment horizontal="center" vertical="center"/>
    </xf>
    <xf numFmtId="164" fontId="15" fillId="15" borderId="4" applyAlignment="1" pivotButton="0" quotePrefix="0" xfId="0">
      <alignment horizontal="center" vertical="center"/>
    </xf>
    <xf numFmtId="165" fontId="15" fillId="7" borderId="4" applyAlignment="1" pivotButton="0" quotePrefix="0" xfId="0">
      <alignment horizontal="center" vertical="center"/>
    </xf>
    <xf numFmtId="0" fontId="38" fillId="5" borderId="4" applyAlignment="1" pivotButton="0" quotePrefix="0" xfId="0">
      <alignment horizontal="center" vertical="center"/>
    </xf>
    <xf numFmtId="164" fontId="15" fillId="8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164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38" fillId="0" borderId="4" applyAlignment="1" pivotButton="0" quotePrefix="0" xfId="0">
      <alignment horizontal="center" vertical="center"/>
    </xf>
    <xf numFmtId="0" fontId="26" fillId="17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CCCCCC"/>
      <rgbColor rgb="FF808080"/>
      <rgbColor rgb="FF9999FF"/>
      <rgbColor rgb="FF993366"/>
      <rgbColor rgb="FFFFF3CD"/>
      <rgbColor rgb="FFDDEEFF"/>
      <rgbColor rgb="FF660066"/>
      <rgbColor rgb="FFFF8080"/>
      <rgbColor rgb="FF0070C0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4"/>
      <rgbColor rgb="FFD4EDDA"/>
      <rgbColor rgb="FFE2EFDA"/>
      <rgbColor rgb="FFD6E4BC"/>
      <rgbColor rgb="FFF2F2F2"/>
      <rgbColor rgb="FFFAFAFA"/>
      <rgbColor rgb="FFF8D7DA"/>
      <rgbColor rgb="FF3366FF"/>
      <rgbColor rgb="FF33CCCC"/>
      <rgbColor rgb="FF99CC00"/>
      <rgbColor rgb="FFFFCC00"/>
      <rgbColor rgb="FFFF9900"/>
      <rgbColor rgb="FFFF6600"/>
      <rgbColor rgb="FF606060"/>
      <rgbColor rgb="FF999999"/>
      <rgbColor rgb="FF1F4E79"/>
      <rgbColor rgb="FF00B050"/>
      <rgbColor rgb="FF003300"/>
      <rgbColor rgb="FF555555"/>
      <rgbColor rgb="FF993300"/>
      <rgbColor rgb="FF993366"/>
      <rgbColor rgb="FF2E4057"/>
      <rgbColor rgb="FF1C28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budget_example%20(1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⚙️ Настройки"/>
      <sheetName val="📋 Транзакции"/>
      <sheetName val="📊 Сводка"/>
      <sheetName val="📅 Платежи"/>
      <sheetName val="💳 Кредиты"/>
      <sheetName val="📈 Капитал"/>
    </sheetNames>
    <sheetDataSet>
      <sheetData sheetId="0">
        <row r="15">
          <cell r="B15">
            <v>0.590909090909091</v>
          </cell>
        </row>
        <row r="16">
          <cell r="B16">
            <v>0.409090909090909</v>
          </cell>
        </row>
      </sheetData>
      <sheetData sheetId="1"/>
      <sheetData sheetId="2"/>
      <sheetData sheetId="3"/>
      <sheetData sheetId="4">
        <row r="6">
          <cell r="C6">
            <v>3850000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0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39" activeCellId="0" sqref="J39"/>
    </sheetView>
  </sheetViews>
  <sheetFormatPr baseColWidth="8" defaultColWidth="14.42578125" defaultRowHeight="15" zeroHeight="0" outlineLevelRow="0"/>
  <cols>
    <col width="36" customWidth="1" style="148" min="1" max="1"/>
    <col width="18" customWidth="1" style="148" min="2" max="2"/>
    <col width="22" customWidth="1" style="148" min="3" max="3"/>
    <col width="13" customWidth="1" style="148" min="4" max="4"/>
    <col width="2" customWidth="1" style="148" min="5" max="6"/>
    <col width="8.710000000000001" customWidth="1" style="148" min="7" max="26"/>
  </cols>
  <sheetData>
    <row r="1" ht="36" customHeight="1" s="149">
      <c r="A1" s="150" t="inlineStr">
        <is>
          <t>⚙️  НАСТРОЙКИ И ПАРАМЕТРЫ</t>
        </is>
      </c>
    </row>
    <row r="2"/>
    <row r="3" ht="15" customHeight="1" s="149">
      <c r="A3" s="151" t="inlineStr">
        <is>
          <t>👤 УЧАСТНИКИ</t>
        </is>
      </c>
      <c r="B3" s="152" t="n"/>
      <c r="C3" s="152" t="n"/>
      <c r="D3" s="153" t="n"/>
    </row>
    <row r="4" ht="15" customHeight="1" s="149">
      <c r="A4" s="154" t="inlineStr">
        <is>
          <t>Имя 1</t>
        </is>
      </c>
      <c r="B4" s="155" t="inlineStr">
        <is>
          <t>User1</t>
        </is>
      </c>
    </row>
    <row r="5" ht="15" customHeight="1" s="149">
      <c r="A5" s="154" t="inlineStr">
        <is>
          <t>Имя 2</t>
        </is>
      </c>
      <c r="B5" s="155" t="inlineStr">
        <is>
          <t>User2</t>
        </is>
      </c>
    </row>
    <row r="6"/>
    <row r="7" ht="15" customHeight="1" s="149">
      <c r="A7" s="151" t="inlineStr">
        <is>
          <t>💰 ДОХОДЫ (руб/мес)</t>
        </is>
      </c>
      <c r="C7" s="156" t="n"/>
      <c r="D7" s="157" t="n"/>
    </row>
    <row r="8" ht="15" customHeight="1" s="149">
      <c r="A8" s="158" t="inlineStr">
        <is>
          <t>Зарплата User1</t>
        </is>
      </c>
      <c r="B8" s="159" t="n">
        <v>120000</v>
      </c>
    </row>
    <row r="9" ht="15" customHeight="1" s="149">
      <c r="A9" s="158" t="inlineStr">
        <is>
          <t>Доп. доход User1</t>
        </is>
      </c>
      <c r="B9" s="159" t="n">
        <v>10000</v>
      </c>
    </row>
    <row r="10" ht="15" customHeight="1" s="149">
      <c r="A10" s="158" t="inlineStr">
        <is>
          <t>Зарплата User2</t>
        </is>
      </c>
      <c r="B10" s="159" t="n">
        <v>90000</v>
      </c>
    </row>
    <row r="11" ht="15" customHeight="1" s="149">
      <c r="A11" s="158" t="inlineStr">
        <is>
          <t>Доп. доход User2</t>
        </is>
      </c>
      <c r="B11" s="159" t="n">
        <v>0</v>
      </c>
    </row>
    <row r="12" ht="15" customHeight="1" s="149">
      <c r="A12" s="154" t="inlineStr">
        <is>
          <t>Итого User1</t>
        </is>
      </c>
      <c r="B12" s="160">
        <f>B8+B9</f>
        <v/>
      </c>
    </row>
    <row r="13" ht="15" customHeight="1" s="149">
      <c r="A13" s="154" t="inlineStr">
        <is>
          <t>Итого User2</t>
        </is>
      </c>
      <c r="B13" s="160">
        <f>B10+B11</f>
        <v/>
      </c>
    </row>
    <row r="14" ht="15" customHeight="1" s="149">
      <c r="A14" s="161" t="inlineStr">
        <is>
          <t>Итого семья</t>
        </is>
      </c>
      <c r="B14" s="162">
        <f>B12+B13</f>
        <v/>
      </c>
    </row>
    <row r="15" ht="15" customHeight="1" s="149">
      <c r="A15" s="154" t="inlineStr">
        <is>
          <t>Доля User1 %</t>
        </is>
      </c>
      <c r="B15" s="163">
        <f>IFERROR(B12/B14,0.5)</f>
        <v/>
      </c>
    </row>
    <row r="16" ht="15" customHeight="1" s="149">
      <c r="A16" s="154" t="inlineStr">
        <is>
          <t>Доля User2 %</t>
        </is>
      </c>
      <c r="B16" s="163">
        <f>IFERROR(B13/B14,0.5)</f>
        <v/>
      </c>
    </row>
    <row r="17"/>
    <row r="18" ht="15" customHeight="1" s="149">
      <c r="A18" s="151" t="inlineStr">
        <is>
          <t>🎛️ ПАРАМЕТРЫ НАКОПЛЕНИЙ</t>
        </is>
      </c>
      <c r="C18" s="156" t="n"/>
      <c r="D18" s="157" t="n"/>
    </row>
    <row r="19" ht="15" customHeight="1" s="149">
      <c r="A19" s="158" t="inlineStr">
        <is>
          <t>% откладывания от остатка</t>
        </is>
      </c>
      <c r="B19" s="164" t="n">
        <v>0.5</v>
      </c>
    </row>
    <row r="20" ht="15" customHeight="1" s="149">
      <c r="A20" s="158" t="inlineStr">
        <is>
          <t>Курс доллара, руб</t>
        </is>
      </c>
      <c r="B20" s="159" t="n">
        <v>90</v>
      </c>
    </row>
    <row r="21" ht="15" customHeight="1" s="149">
      <c r="A21" s="158" t="inlineStr">
        <is>
          <t>Курс евро, руб</t>
        </is>
      </c>
      <c r="B21" s="159" t="n">
        <v>98</v>
      </c>
    </row>
    <row r="22" ht="15" customHeight="1" s="149">
      <c r="A22" s="158" t="inlineStr">
        <is>
          <t>Подушка безопасности (мес)</t>
        </is>
      </c>
      <c r="B22" s="165" t="n">
        <v>6</v>
      </c>
    </row>
    <row r="23" ht="15.75" customHeight="1" s="149"/>
    <row r="24" ht="15.75" customHeight="1" s="149"/>
    <row r="25" ht="15" customHeight="1" s="149">
      <c r="A25" s="151" t="inlineStr">
        <is>
          <t>🏷️ КАТЕГОРИИ РАСХОДОВ</t>
        </is>
      </c>
      <c r="B25" s="153" t="n"/>
      <c r="C25" s="151" t="inlineStr">
        <is>
          <t>🏦 СЧЕТА И ВКЛАДЫ</t>
        </is>
      </c>
      <c r="D25" s="153" t="n"/>
    </row>
    <row r="26" ht="15" customHeight="1" s="149">
      <c r="A26" s="166" t="inlineStr">
        <is>
          <t>Еда и продукты</t>
        </is>
      </c>
      <c r="B26" s="167" t="n"/>
      <c r="C26" s="166" t="inlineStr">
        <is>
          <t>Main Card</t>
        </is>
      </c>
      <c r="D26" s="167" t="n"/>
    </row>
    <row r="27" ht="15" customHeight="1" s="149">
      <c r="A27" s="168" t="inlineStr">
        <is>
          <t>Кредиты</t>
        </is>
      </c>
      <c r="B27" s="167" t="n"/>
      <c r="C27" s="168" t="inlineStr">
        <is>
          <t>Family Card</t>
        </is>
      </c>
      <c r="D27" s="167" t="n"/>
    </row>
    <row r="28" ht="15" customHeight="1" s="149">
      <c r="A28" s="166" t="inlineStr">
        <is>
          <t>Ипотека</t>
        </is>
      </c>
      <c r="B28" s="167" t="n"/>
      <c r="C28" s="166" t="inlineStr">
        <is>
          <t>Savings</t>
        </is>
      </c>
      <c r="D28" s="167" t="n"/>
    </row>
    <row r="29" ht="15" customHeight="1" s="149">
      <c r="A29" s="168" t="inlineStr">
        <is>
          <t>Коммунальные</t>
        </is>
      </c>
      <c r="B29" s="167" t="n"/>
      <c r="C29" s="168" t="n"/>
      <c r="D29" s="167" t="n"/>
    </row>
    <row r="30" ht="15" customHeight="1" s="149">
      <c r="A30" s="166" t="inlineStr">
        <is>
          <t>Транспорт</t>
        </is>
      </c>
      <c r="B30" s="167" t="n"/>
      <c r="C30" s="166" t="n"/>
      <c r="D30" s="167" t="n"/>
    </row>
    <row r="31" ht="15" customHeight="1" s="149">
      <c r="A31" s="168" t="inlineStr">
        <is>
          <t>Бензин</t>
        </is>
      </c>
      <c r="B31" s="167" t="n"/>
      <c r="C31" s="168" t="n"/>
      <c r="D31" s="167" t="n"/>
    </row>
    <row r="32" ht="15" customHeight="1" s="149">
      <c r="A32" s="166" t="inlineStr">
        <is>
          <t>Дом</t>
        </is>
      </c>
      <c r="B32" s="167" t="n"/>
      <c r="C32" s="166" t="n"/>
      <c r="D32" s="167" t="n"/>
    </row>
    <row r="33" ht="15" customHeight="1" s="149">
      <c r="A33" s="168" t="inlineStr">
        <is>
          <t>Платежи/подписки</t>
        </is>
      </c>
      <c r="B33" s="167" t="n"/>
      <c r="C33" s="168" t="n"/>
      <c r="D33" s="167" t="n"/>
    </row>
    <row r="34" ht="15" customHeight="1" s="149">
      <c r="A34" s="166" t="inlineStr">
        <is>
          <t>User1 личное</t>
        </is>
      </c>
      <c r="B34" s="167" t="n"/>
      <c r="C34" s="166" t="n"/>
      <c r="D34" s="167" t="n"/>
    </row>
    <row r="35" ht="15" customHeight="1" s="149">
      <c r="A35" s="168" t="inlineStr">
        <is>
          <t>User2 личное</t>
        </is>
      </c>
      <c r="B35" s="167" t="n"/>
    </row>
    <row r="36" ht="15" customHeight="1" s="149">
      <c r="A36" s="166" t="inlineStr">
        <is>
          <t>Развлечения</t>
        </is>
      </c>
      <c r="B36" s="167" t="n"/>
    </row>
    <row r="37" ht="15" customHeight="1" s="149">
      <c r="A37" s="168" t="inlineStr">
        <is>
          <t>Подарки</t>
        </is>
      </c>
      <c r="B37" s="167" t="n"/>
    </row>
    <row r="38" ht="15" customHeight="1" s="149">
      <c r="A38" s="166" t="inlineStr">
        <is>
          <t>Путешествия</t>
        </is>
      </c>
      <c r="B38" s="167" t="n"/>
    </row>
    <row r="39" ht="15" customHeight="1" s="149">
      <c r="A39" s="168" t="inlineStr">
        <is>
          <t>Одежда</t>
        </is>
      </c>
      <c r="B39" s="167" t="n"/>
    </row>
    <row r="40" ht="15" customHeight="1" s="149">
      <c r="A40" s="166" t="inlineStr">
        <is>
          <t>Здоровье</t>
        </is>
      </c>
      <c r="B40" s="167" t="n"/>
    </row>
    <row r="41" ht="15" customHeight="1" s="149">
      <c r="A41" s="168" t="inlineStr">
        <is>
          <t>Саморазвитие</t>
        </is>
      </c>
      <c r="B41" s="167" t="n"/>
    </row>
    <row r="42" ht="15" customHeight="1" s="149">
      <c r="A42" s="166" t="inlineStr">
        <is>
          <t>Разное</t>
        </is>
      </c>
      <c r="B42" s="167" t="n"/>
    </row>
    <row r="43" ht="15" customHeight="1" s="149">
      <c r="A43" s="168" t="inlineStr">
        <is>
          <t>Доход</t>
        </is>
      </c>
      <c r="B43" s="167" t="n"/>
    </row>
    <row r="44" ht="15" customHeight="1" s="149">
      <c r="A44" s="166" t="inlineStr">
        <is>
          <t>Перевод</t>
        </is>
      </c>
      <c r="B44" s="167" t="n"/>
    </row>
    <row r="45" ht="15" customHeight="1" s="149">
      <c r="A45" s="168" t="n"/>
      <c r="B45" s="167" t="n"/>
    </row>
    <row r="46" ht="15.75" customHeight="1" s="149"/>
    <row r="47" ht="15.75" customHeight="1" s="149">
      <c r="A47" s="169" t="inlineStr">
        <is>
          <t>💼  РАСЧЁТ ЗАРПЛАТЫ ПО РАБОЧИМ ДНЯМ</t>
        </is>
      </c>
      <c r="B47" s="170" t="n"/>
      <c r="C47" s="170" t="n"/>
      <c r="D47" s="170" t="n"/>
      <c r="E47" s="170" t="n"/>
    </row>
    <row r="48" ht="15.75" customHeight="1" s="149">
      <c r="A48" s="171" t="inlineStr">
        <is>
          <t>Расчётный месяц →</t>
        </is>
      </c>
      <c r="B48" s="172" t="inlineStr">
        <is>
          <t>2026-05</t>
        </is>
      </c>
      <c r="C48" s="173" t="inlineStr">
        <is>
          <t>← введи нужный месяц (ГГГГ-ММ)</t>
        </is>
      </c>
      <c r="D48" s="170" t="n"/>
      <c r="E48" s="170" t="n"/>
    </row>
    <row r="49" ht="15.75" customHeight="1" s="149">
      <c r="A49" s="171" t="inlineStr">
        <is>
          <t>Рабочих дней  1 – 15</t>
        </is>
      </c>
      <c r="B49" s="174">
        <f>IFERROR(NETWORKDAYS(DATE(LEFT(B48,4)*1,RIGHT(B48,2)*1,1),DATE(LEFT(B48,4)*1,RIGHT(B48,2)*1,15)),0)</f>
        <v/>
      </c>
      <c r="C49" s="170" t="n"/>
      <c r="D49" s="175" t="n"/>
      <c r="E49" s="170" t="n"/>
    </row>
    <row r="50" ht="15.75" customHeight="1" s="149">
      <c r="A50" s="171" t="inlineStr">
        <is>
          <t>Рабочих дней 16 – конец</t>
        </is>
      </c>
      <c r="B50" s="174">
        <f>IFERROR(NETWORKDAYS(DATE(LEFT(B48,4)*1,RIGHT(B48,2)*1,16),EOMONTH(DATE(LEFT(B48,4)*1,RIGHT(B48,2)*1,1),0)),0)</f>
        <v/>
      </c>
      <c r="C50" s="170" t="n"/>
      <c r="D50" s="175" t="n"/>
      <c r="E50" s="170" t="n"/>
    </row>
    <row r="51" ht="15.75" customHeight="1" s="149">
      <c r="A51" s="176" t="inlineStr">
        <is>
          <t>Итого рабочих дней</t>
        </is>
      </c>
      <c r="B51" s="177">
        <f>B49+B50</f>
        <v/>
      </c>
      <c r="C51" s="170" t="n"/>
      <c r="D51" s="175" t="n"/>
      <c r="E51" s="170" t="n"/>
    </row>
    <row r="52" ht="15.75" customHeight="1" s="149">
      <c r="A52" s="170" t="n"/>
      <c r="B52" s="170" t="n"/>
      <c r="C52" s="170" t="n"/>
      <c r="D52" s="170" t="n"/>
      <c r="E52" s="170" t="n"/>
    </row>
    <row r="53" ht="15.75" customHeight="1" s="149">
      <c r="A53" s="178" t="n"/>
      <c r="B53" s="178" t="inlineStr">
        <is>
          <t>1-я зарплата (аванс)</t>
        </is>
      </c>
      <c r="C53" s="178" t="inlineStr">
        <is>
          <t>2-я зарплата (остаток)</t>
        </is>
      </c>
      <c r="D53" s="178" t="inlineStr">
        <is>
          <t>% аванса</t>
        </is>
      </c>
      <c r="E53" s="170" t="n"/>
    </row>
    <row r="54" ht="15.75" customHeight="1" s="149">
      <c r="A54" s="171" t="inlineStr">
        <is>
          <t>User1</t>
        </is>
      </c>
      <c r="B54" s="177">
        <f>IFERROR(ROUND(B8*B49/B51,-2),0)</f>
        <v/>
      </c>
      <c r="C54" s="177">
        <f>B8-B54</f>
        <v/>
      </c>
      <c r="D54" s="174">
        <f>IFERROR(TEXT(B49/B51,"0.0%"),"-")</f>
        <v/>
      </c>
      <c r="E54" s="170" t="n"/>
    </row>
    <row r="55" ht="15.75" customHeight="1" s="149">
      <c r="A55" s="171" t="inlineStr">
        <is>
          <t>User2</t>
        </is>
      </c>
      <c r="B55" s="177">
        <f>IFERROR(ROUND(B10*B49/B51,-2),0)</f>
        <v/>
      </c>
      <c r="C55" s="177">
        <f>B10-B55</f>
        <v/>
      </c>
      <c r="D55" s="174">
        <f>IFERROR(TEXT(B50/B51,"0.0%"),"-")</f>
        <v/>
      </c>
      <c r="E55" s="170" t="n"/>
    </row>
    <row r="56" ht="15.75" customHeight="1" s="149">
      <c r="A56" s="176" t="inlineStr">
        <is>
          <t>ИТОГО семья</t>
        </is>
      </c>
      <c r="B56" s="179">
        <f>B54+B55</f>
        <v/>
      </c>
      <c r="C56" s="179">
        <f>C54+C55</f>
        <v/>
      </c>
      <c r="D56" s="174">
        <f>IFERROR(TEXT(B49/B51,"0.0%"),"-")</f>
        <v/>
      </c>
      <c r="E56" s="170" t="n"/>
    </row>
    <row r="57" ht="15.75" customHeight="1" s="149">
      <c r="A57" s="180" t="inlineStr">
        <is>
          <t>Проверка (= оклад семьи)</t>
        </is>
      </c>
      <c r="B57" s="174">
        <f>B56+C56</f>
        <v/>
      </c>
      <c r="C57" s="170" t="n"/>
      <c r="D57" s="170" t="n"/>
      <c r="E57" s="170" t="n"/>
    </row>
    <row r="58" ht="15.75" customHeight="1" s="149">
      <c r="A58" s="181" t="inlineStr">
        <is>
          <t>💡 Будни Пн–Пт только. Российские праздники (янв, май и пр.) вычти вручную если нужна точность.</t>
        </is>
      </c>
      <c r="B58" s="170" t="n"/>
      <c r="C58" s="170" t="n"/>
      <c r="D58" s="170" t="n"/>
      <c r="E58" s="170" t="n"/>
    </row>
    <row r="59" ht="15.75" customHeight="1" s="149">
      <c r="A59" s="170" t="n"/>
      <c r="B59" s="170" t="n"/>
      <c r="C59" s="170" t="n"/>
      <c r="D59" s="170" t="n"/>
      <c r="E59" s="170" t="n"/>
    </row>
    <row r="60" ht="15.75" customHeight="1" s="149">
      <c r="A60" s="170" t="n"/>
      <c r="B60" s="170" t="n"/>
      <c r="C60" s="170" t="n"/>
      <c r="D60" s="170" t="n"/>
      <c r="E60" s="170" t="n"/>
    </row>
    <row r="61" ht="15.75" customHeight="1" s="149">
      <c r="A61" s="170" t="n"/>
      <c r="B61" s="170" t="n"/>
      <c r="C61" s="170" t="n"/>
      <c r="D61" s="170" t="n"/>
      <c r="E61" s="170" t="n"/>
    </row>
    <row r="62" ht="15.75" customHeight="1" s="149">
      <c r="A62" s="170" t="n"/>
      <c r="B62" s="170" t="n"/>
      <c r="C62" s="170" t="n"/>
      <c r="D62" s="170" t="n"/>
      <c r="E62" s="170" t="n"/>
    </row>
    <row r="63" ht="15.75" customHeight="1" s="149"/>
    <row r="64" ht="15.75" customHeight="1" s="149"/>
    <row r="65" ht="15.75" customHeight="1" s="149"/>
    <row r="66" ht="15.75" customHeight="1" s="149"/>
    <row r="67" ht="15.75" customHeight="1" s="149"/>
    <row r="68" ht="15.75" customHeight="1" s="149"/>
    <row r="69" ht="15.75" customHeight="1" s="149"/>
    <row r="70" ht="15.75" customHeight="1" s="149"/>
    <row r="71" ht="15.75" customHeight="1" s="149"/>
    <row r="72" ht="15.75" customHeight="1" s="149"/>
    <row r="73" ht="15.75" customHeight="1" s="149"/>
    <row r="74" ht="15.75" customHeight="1" s="149"/>
    <row r="75" ht="15.75" customHeight="1" s="149"/>
    <row r="76" ht="15.75" customHeight="1" s="149"/>
    <row r="77" ht="15.75" customHeight="1" s="149"/>
    <row r="78" ht="15.75" customHeight="1" s="149"/>
    <row r="79" ht="15.75" customHeight="1" s="149"/>
    <row r="80" ht="15.75" customHeight="1" s="149"/>
    <row r="81" ht="15.75" customHeight="1" s="149"/>
    <row r="82" ht="15.75" customHeight="1" s="149"/>
    <row r="83" ht="15.75" customHeight="1" s="149"/>
    <row r="84" ht="15.75" customHeight="1" s="149"/>
    <row r="85" ht="15.75" customHeight="1" s="149"/>
    <row r="86" ht="15.75" customHeight="1" s="149"/>
    <row r="87" ht="15.75" customHeight="1" s="149"/>
    <row r="88" ht="15.75" customHeight="1" s="149"/>
    <row r="89" ht="15.75" customHeight="1" s="149"/>
    <row r="90" ht="15.75" customHeight="1" s="149"/>
    <row r="91" ht="15.75" customHeight="1" s="149"/>
    <row r="92" ht="15.75" customHeight="1" s="149"/>
    <row r="93" ht="15.75" customHeight="1" s="149"/>
    <row r="94" ht="15.75" customHeight="1" s="149"/>
    <row r="95" ht="15.75" customHeight="1" s="149"/>
    <row r="96" ht="15.75" customHeight="1" s="149"/>
    <row r="97" ht="15.75" customHeight="1" s="149"/>
    <row r="98" ht="15.75" customHeight="1" s="149"/>
    <row r="99" ht="15.75" customHeight="1" s="149"/>
    <row r="100" ht="15.75" customHeight="1" s="149"/>
    <row r="101" ht="15.75" customHeight="1" s="149"/>
    <row r="102" ht="15.75" customHeight="1" s="149"/>
    <row r="103" ht="15.75" customHeight="1" s="149"/>
    <row r="104" ht="15.75" customHeight="1" s="149"/>
    <row r="105" ht="15.75" customHeight="1" s="149"/>
    <row r="106" ht="15.75" customHeight="1" s="149"/>
    <row r="107" ht="15.75" customHeight="1" s="149"/>
    <row r="108" ht="15.75" customHeight="1" s="149"/>
    <row r="109" ht="15.75" customHeight="1" s="149"/>
    <row r="110" ht="15.75" customHeight="1" s="149"/>
    <row r="111" ht="15.75" customHeight="1" s="149"/>
    <row r="112" ht="15.75" customHeight="1" s="149"/>
    <row r="113" ht="15.75" customHeight="1" s="149"/>
    <row r="114" ht="15.75" customHeight="1" s="149"/>
    <row r="115" ht="15.75" customHeight="1" s="149"/>
    <row r="116" ht="15.75" customHeight="1" s="149"/>
    <row r="117" ht="15.75" customHeight="1" s="149"/>
    <row r="118" ht="15.75" customHeight="1" s="149"/>
    <row r="119" ht="15.75" customHeight="1" s="149"/>
    <row r="120" ht="15.75" customHeight="1" s="149"/>
    <row r="121" ht="15.75" customHeight="1" s="149"/>
    <row r="122" ht="15.75" customHeight="1" s="149"/>
    <row r="123" ht="15.75" customHeight="1" s="149"/>
    <row r="124" ht="15.75" customHeight="1" s="149"/>
    <row r="125" ht="15.75" customHeight="1" s="149"/>
    <row r="126" ht="15.75" customHeight="1" s="149"/>
    <row r="127" ht="15.75" customHeight="1" s="149"/>
    <row r="128" ht="15.75" customHeight="1" s="149"/>
    <row r="129" ht="15.75" customHeight="1" s="149"/>
    <row r="130" ht="15.75" customHeight="1" s="149"/>
    <row r="131" ht="15.75" customHeight="1" s="149"/>
    <row r="132" ht="15.75" customHeight="1" s="149"/>
    <row r="133" ht="15.75" customHeight="1" s="149"/>
    <row r="134" ht="15.75" customHeight="1" s="149"/>
    <row r="135" ht="15.75" customHeight="1" s="149"/>
    <row r="136" ht="15.75" customHeight="1" s="149"/>
    <row r="137" ht="15.75" customHeight="1" s="149"/>
    <row r="138" ht="15.75" customHeight="1" s="149"/>
    <row r="139" ht="15.75" customHeight="1" s="149"/>
    <row r="140" ht="15.75" customHeight="1" s="149"/>
    <row r="141" ht="15.75" customHeight="1" s="149"/>
    <row r="142" ht="15.75" customHeight="1" s="149"/>
    <row r="143" ht="15.75" customHeight="1" s="149"/>
    <row r="144" ht="15.75" customHeight="1" s="149"/>
    <row r="145" ht="15.75" customHeight="1" s="149"/>
    <row r="146" ht="15.75" customHeight="1" s="149"/>
    <row r="147" ht="15.75" customHeight="1" s="149"/>
    <row r="148" ht="15.75" customHeight="1" s="149"/>
    <row r="149" ht="15.75" customHeight="1" s="149"/>
    <row r="150" ht="15.75" customHeight="1" s="149"/>
    <row r="151" ht="15.75" customHeight="1" s="149"/>
    <row r="152" ht="15.75" customHeight="1" s="149"/>
    <row r="153" ht="15.75" customHeight="1" s="149"/>
    <row r="154" ht="15.75" customHeight="1" s="149"/>
    <row r="155" ht="15.75" customHeight="1" s="149"/>
    <row r="156" ht="15.75" customHeight="1" s="149"/>
    <row r="157" ht="15.75" customHeight="1" s="149"/>
    <row r="158" ht="15.75" customHeight="1" s="149"/>
    <row r="159" ht="15.75" customHeight="1" s="149"/>
    <row r="160" ht="15.75" customHeight="1" s="149"/>
    <row r="161" ht="15.75" customHeight="1" s="149"/>
    <row r="162" ht="15.75" customHeight="1" s="149"/>
    <row r="163" ht="15.75" customHeight="1" s="149"/>
    <row r="164" ht="15.75" customHeight="1" s="149"/>
    <row r="165" ht="15.75" customHeight="1" s="149"/>
    <row r="166" ht="15.75" customHeight="1" s="149"/>
    <row r="167" ht="15.75" customHeight="1" s="149"/>
    <row r="168" ht="15.75" customHeight="1" s="149"/>
    <row r="169" ht="15.75" customHeight="1" s="149"/>
    <row r="170" ht="15.75" customHeight="1" s="149"/>
    <row r="171" ht="15.75" customHeight="1" s="149"/>
    <row r="172" ht="15.75" customHeight="1" s="149"/>
    <row r="173" ht="15.75" customHeight="1" s="149"/>
    <row r="174" ht="15.75" customHeight="1" s="149"/>
    <row r="175" ht="15.75" customHeight="1" s="149"/>
    <row r="176" ht="15.75" customHeight="1" s="149"/>
    <row r="177" ht="15.75" customHeight="1" s="149"/>
    <row r="178" ht="15.75" customHeight="1" s="149"/>
    <row r="179" ht="15.75" customHeight="1" s="149"/>
    <row r="180" ht="15.75" customHeight="1" s="149"/>
    <row r="181" ht="15.75" customHeight="1" s="149"/>
    <row r="182" ht="15.75" customHeight="1" s="149"/>
    <row r="183" ht="15.75" customHeight="1" s="149"/>
    <row r="184" ht="15.75" customHeight="1" s="149"/>
    <row r="185" ht="15.75" customHeight="1" s="149"/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  <row r="1001"/>
    <row r="1002"/>
    <row r="1003" ht="15" customHeight="1" s="149">
      <c r="A1003" s="182" t="n"/>
    </row>
    <row r="1004" ht="15" customHeight="1" s="149">
      <c r="B1004" s="183" t="n"/>
    </row>
    <row r="1005" ht="15" customHeight="1" s="149">
      <c r="D1005" s="184" t="n"/>
    </row>
    <row r="1006" ht="15" customHeight="1" s="149">
      <c r="D1006" s="184" t="n"/>
    </row>
    <row r="1007" ht="15" customHeight="1" s="149">
      <c r="B1007" s="176" t="n"/>
      <c r="D1007" s="184" t="n"/>
    </row>
    <row r="1008"/>
    <row r="1009"/>
    <row r="1010"/>
    <row r="1011" ht="15" customHeight="1" s="149">
      <c r="B1011" s="185" t="n"/>
      <c r="C1011" s="185" t="n"/>
      <c r="D1011" s="185" t="n"/>
    </row>
    <row r="1012" ht="15" customHeight="1" s="149">
      <c r="B1012" s="186" t="n"/>
      <c r="C1012" s="186" t="n"/>
      <c r="D1012" s="186" t="n"/>
    </row>
    <row r="1013" ht="15" customHeight="1" s="149">
      <c r="B1013" s="186" t="n"/>
      <c r="C1013" s="186" t="n"/>
      <c r="D1013" s="186" t="n"/>
    </row>
    <row r="1014" ht="15" customHeight="1" s="149">
      <c r="B1014" s="182" t="n"/>
      <c r="C1014" s="182" t="n"/>
      <c r="D1014" s="186" t="n"/>
    </row>
    <row r="1015" ht="15" customHeight="1" s="149">
      <c r="B1015" s="187" t="n"/>
    </row>
    <row r="1016" ht="15" customHeight="1" s="149">
      <c r="A1016" s="188" t="n"/>
    </row>
  </sheetData>
  <mergeCells count="4">
    <mergeCell ref="A25:B25"/>
    <mergeCell ref="C25:D25"/>
    <mergeCell ref="A1:F1"/>
    <mergeCell ref="A3:D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9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I21" activeCellId="0" sqref="I21"/>
    </sheetView>
  </sheetViews>
  <sheetFormatPr baseColWidth="8" defaultColWidth="14.42578125" defaultRowHeight="15" zeroHeight="0" outlineLevelRow="0"/>
  <cols>
    <col width="12" customWidth="1" style="189" min="1" max="1"/>
    <col width="12" customWidth="1" style="190" min="2" max="2"/>
    <col width="32" customWidth="1" style="190" min="3" max="3"/>
    <col width="22" customWidth="1" style="190" min="4" max="4"/>
    <col width="14" customWidth="1" style="190" min="5" max="5"/>
    <col width="12" customWidth="1" style="190" min="6" max="6"/>
    <col width="16" customWidth="1" style="190" min="7" max="7"/>
    <col width="18" customWidth="1" style="190" min="8" max="8"/>
    <col width="11" customWidth="1" style="190" min="9" max="9"/>
    <col width="15" customWidth="1" style="190" min="10" max="11"/>
    <col width="8.710000000000001" customWidth="1" style="148" min="12" max="26"/>
  </cols>
  <sheetData>
    <row r="1" ht="36" customHeight="1" s="149">
      <c r="A1" s="191" t="inlineStr">
        <is>
          <t>📋  ЖУРНАЛ ТРАНЗАКЦИЙ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3" t="n"/>
    </row>
    <row r="2" ht="15" customHeight="1" s="149">
      <c r="A2" s="194" t="inlineStr">
        <is>
          <t>Дата</t>
        </is>
      </c>
      <c r="B2" s="195" t="inlineStr">
        <is>
          <t>Месяц</t>
        </is>
      </c>
      <c r="C2" s="195" t="inlineStr">
        <is>
          <t>Описание</t>
        </is>
      </c>
      <c r="D2" s="195" t="inlineStr">
        <is>
          <t>Категория</t>
        </is>
      </c>
      <c r="E2" s="195" t="inlineStr">
        <is>
          <t>Тип</t>
        </is>
      </c>
      <c r="F2" s="195" t="inlineStr">
        <is>
          <t>Чья</t>
        </is>
      </c>
      <c r="G2" s="195" t="inlineStr">
        <is>
          <t>Сумма, ₽</t>
        </is>
      </c>
      <c r="H2" s="195" t="inlineStr">
        <is>
          <t>Счёт</t>
        </is>
      </c>
      <c r="I2" s="195" t="inlineStr">
        <is>
          <t>Обязат.?</t>
        </is>
      </c>
      <c r="J2" s="195" t="inlineStr">
        <is>
          <t>Доля User1</t>
        </is>
      </c>
      <c r="K2" s="195" t="inlineStr">
        <is>
          <t>Доля User2</t>
        </is>
      </c>
    </row>
    <row r="3" ht="15" customHeight="1" s="149">
      <c r="A3" s="196" t="n">
        <v>46113</v>
      </c>
      <c r="B3" s="197">
        <f>IF(ISNUMBER(A3),YEAR(A3)&amp;"-"&amp;TEXT(MONTH(A3),"00"),"")</f>
        <v/>
      </c>
      <c r="C3" s="198" t="inlineStr">
        <is>
          <t>Grocery store</t>
        </is>
      </c>
      <c r="D3" s="199" t="inlineStr">
        <is>
          <t>Еда и продукты</t>
        </is>
      </c>
      <c r="E3" s="199" t="inlineStr">
        <is>
          <t>Расход</t>
        </is>
      </c>
      <c r="F3" s="200" t="inlineStr">
        <is>
          <t>Общее</t>
        </is>
      </c>
      <c r="G3" s="201" t="n">
        <v>5200</v>
      </c>
      <c r="H3" s="199" t="inlineStr">
        <is>
          <t>Main Card</t>
        </is>
      </c>
      <c r="I3" s="199" t="inlineStr">
        <is>
          <t>Нет</t>
        </is>
      </c>
      <c r="J3" s="202">
        <f>IF(G3="","",IF(F3="User1",G3,IF(F3="User2",0,IF(I3="Да",G3*'⚙️ Настройки'!B15,G3*0.5))))</f>
        <v/>
      </c>
      <c r="K3" s="202">
        <f>IF(G3="","",IF(F3="User2",G3,IF(F3="User1",0,IF(I3="Да",G3*'⚙️ Настройки'!B16,G3*0.5))))</f>
        <v/>
      </c>
    </row>
    <row r="4" ht="15" customHeight="1" s="149">
      <c r="A4" s="196" t="n">
        <v>46115</v>
      </c>
      <c r="B4" s="197">
        <f>IF(ISNUMBER(A4),YEAR(A4)&amp;"-"&amp;TEXT(MONTH(A4),"00"),"")</f>
        <v/>
      </c>
      <c r="C4" s="198" t="inlineStr">
        <is>
          <t>Salary User1</t>
        </is>
      </c>
      <c r="D4" s="199" t="inlineStr">
        <is>
          <t>Доход</t>
        </is>
      </c>
      <c r="E4" s="199" t="inlineStr">
        <is>
          <t>Доход</t>
        </is>
      </c>
      <c r="F4" s="200" t="inlineStr">
        <is>
          <t>User1</t>
        </is>
      </c>
      <c r="G4" s="201" t="n">
        <v>120000</v>
      </c>
      <c r="H4" s="199" t="inlineStr">
        <is>
          <t>Main Card</t>
        </is>
      </c>
      <c r="I4" s="199" t="inlineStr">
        <is>
          <t>Нет</t>
        </is>
      </c>
      <c r="J4" s="202">
        <f>IF(G4="","",IF(F4="User1",G4,IF(F4="User2",0,IF(I4="Да",G4*'⚙️ Настройки'!B15,G4*0.5))))</f>
        <v/>
      </c>
      <c r="K4" s="202">
        <f>IF(G4="","",IF(F4="User2",G4,IF(F4="User1",0,IF(I4="Да",G4*'⚙️ Настройки'!B16,G4*0.5))))</f>
        <v/>
      </c>
    </row>
    <row r="5" ht="15" customHeight="1" s="149">
      <c r="A5" s="196" t="n">
        <v>46117</v>
      </c>
      <c r="B5" s="197">
        <f>IF(ISNUMBER(A5),YEAR(A5)&amp;"-"&amp;TEXT(MONTH(A5),"00"),"")</f>
        <v/>
      </c>
      <c r="C5" s="198" t="inlineStr">
        <is>
          <t>Mortgage payment</t>
        </is>
      </c>
      <c r="D5" s="199" t="inlineStr">
        <is>
          <t>Ипотека</t>
        </is>
      </c>
      <c r="E5" s="199" t="inlineStr">
        <is>
          <t>Расход</t>
        </is>
      </c>
      <c r="F5" s="200" t="inlineStr">
        <is>
          <t>Общее</t>
        </is>
      </c>
      <c r="G5" s="201" t="n">
        <v>35000</v>
      </c>
      <c r="H5" s="199" t="inlineStr">
        <is>
          <t>Main Card</t>
        </is>
      </c>
      <c r="I5" s="199" t="inlineStr">
        <is>
          <t>Да</t>
        </is>
      </c>
      <c r="J5" s="202">
        <f>IF(G5="","",IF(F5="User1",G5,IF(F5="User2",0,IF(I5="Да",G5*'⚙️ Настройки'!B15,G5*0.5))))</f>
        <v/>
      </c>
      <c r="K5" s="202">
        <f>IF(G5="","",IF(F5="User2",G5,IF(F5="User1",0,IF(I5="Да",G5*'⚙️ Настройки'!B16,G5*0.5))))</f>
        <v/>
      </c>
    </row>
    <row r="6" ht="15" customHeight="1" s="149">
      <c r="A6" s="196" t="n">
        <v>46119</v>
      </c>
      <c r="B6" s="197">
        <f>IF(ISNUMBER(A6),YEAR(A6)&amp;"-"&amp;TEXT(MONTH(A6),"00"),"")</f>
        <v/>
      </c>
      <c r="C6" s="198" t="inlineStr">
        <is>
          <t>Coffee</t>
        </is>
      </c>
      <c r="D6" s="199" t="inlineStr">
        <is>
          <t>Еда и продукты</t>
        </is>
      </c>
      <c r="E6" s="199" t="inlineStr">
        <is>
          <t>Расход</t>
        </is>
      </c>
      <c r="F6" s="200" t="inlineStr">
        <is>
          <t>User1</t>
        </is>
      </c>
      <c r="G6" s="201" t="n">
        <v>450</v>
      </c>
      <c r="H6" s="199" t="inlineStr">
        <is>
          <t>Main Card</t>
        </is>
      </c>
      <c r="I6" s="199" t="inlineStr">
        <is>
          <t>Нет</t>
        </is>
      </c>
      <c r="J6" s="202">
        <f>IF(G6="","",IF(F6="User1",G6,IF(F6="User2",0,IF(I6="Да",G6*'⚙️ Настройки'!B15,G6*0.5))))</f>
        <v/>
      </c>
      <c r="K6" s="202">
        <f>IF(G6="","",IF(F6="User2",G6,IF(F6="User1",0,IF(I6="Да",G6*'⚙️ Настройки'!B16,G6*0.5))))</f>
        <v/>
      </c>
    </row>
    <row r="7" ht="15" customHeight="1" s="149">
      <c r="A7" s="196" t="n">
        <v>46121</v>
      </c>
      <c r="B7" s="197">
        <f>IF(ISNUMBER(A7),YEAR(A7)&amp;"-"&amp;TEXT(MONTH(A7),"00"),"")</f>
        <v/>
      </c>
      <c r="C7" s="198" t="inlineStr">
        <is>
          <t>Gas station</t>
        </is>
      </c>
      <c r="D7" s="199" t="inlineStr">
        <is>
          <t>Бензин</t>
        </is>
      </c>
      <c r="E7" s="199" t="inlineStr">
        <is>
          <t>Расход</t>
        </is>
      </c>
      <c r="F7" s="200" t="inlineStr">
        <is>
          <t>User2</t>
        </is>
      </c>
      <c r="G7" s="201" t="n">
        <v>3200</v>
      </c>
      <c r="H7" s="199" t="inlineStr">
        <is>
          <t>Family Card</t>
        </is>
      </c>
      <c r="I7" s="199" t="inlineStr">
        <is>
          <t>Нет</t>
        </is>
      </c>
      <c r="J7" s="202">
        <f>IF(G7="","",IF(F7="User1",G7,IF(F7="User2",0,IF(I7="Да",G7*'⚙️ Настройки'!B15,G7*0.5))))</f>
        <v/>
      </c>
      <c r="K7" s="202">
        <f>IF(G7="","",IF(F7="User2",G7,IF(F7="User1",0,IF(I7="Да",G7*'⚙️ Настройки'!B16,G7*0.5))))</f>
        <v/>
      </c>
    </row>
    <row r="8" ht="15" customHeight="1" s="149">
      <c r="A8" s="196" t="n">
        <v>46122</v>
      </c>
      <c r="B8" s="197">
        <f>IF(ISNUMBER(A8),YEAR(A8)&amp;"-"&amp;TEXT(MONTH(A8),"00"),"")</f>
        <v/>
      </c>
      <c r="C8" s="198" t="inlineStr">
        <is>
          <t>Internet</t>
        </is>
      </c>
      <c r="D8" s="199" t="inlineStr">
        <is>
          <t>Коммунальные</t>
        </is>
      </c>
      <c r="E8" s="199" t="inlineStr">
        <is>
          <t>Расход</t>
        </is>
      </c>
      <c r="F8" s="200" t="inlineStr">
        <is>
          <t>Общее</t>
        </is>
      </c>
      <c r="G8" s="201" t="n">
        <v>900</v>
      </c>
      <c r="H8" s="199" t="inlineStr">
        <is>
          <t>Main Card</t>
        </is>
      </c>
      <c r="I8" s="199" t="inlineStr">
        <is>
          <t>Да</t>
        </is>
      </c>
      <c r="J8" s="202">
        <f>IF(G8="","",IF(F8="User1",G8,IF(F8="User2",0,IF(I8="Да",G8*'⚙️ Настройки'!B15,G8*0.5))))</f>
        <v/>
      </c>
      <c r="K8" s="202">
        <f>IF(G8="","",IF(F8="User2",G8,IF(F8="User1",0,IF(I8="Да",G8*'⚙️ Настройки'!B16,G8*0.5))))</f>
        <v/>
      </c>
    </row>
    <row r="9" ht="15" customHeight="1" s="149">
      <c r="A9" s="196" t="n">
        <v>46124</v>
      </c>
      <c r="B9" s="197">
        <f>IF(ISNUMBER(A9),YEAR(A9)&amp;"-"&amp;TEXT(MONTH(A9),"00"),"")</f>
        <v/>
      </c>
      <c r="C9" s="198" t="inlineStr">
        <is>
          <t>Pharmacy</t>
        </is>
      </c>
      <c r="D9" s="199" t="inlineStr">
        <is>
          <t>Здоровье</t>
        </is>
      </c>
      <c r="E9" s="199" t="inlineStr">
        <is>
          <t>Расход</t>
        </is>
      </c>
      <c r="F9" s="200" t="inlineStr">
        <is>
          <t>User2</t>
        </is>
      </c>
      <c r="G9" s="201" t="n">
        <v>1800</v>
      </c>
      <c r="H9" s="199" t="inlineStr">
        <is>
          <t>Family Card</t>
        </is>
      </c>
      <c r="I9" s="199" t="inlineStr">
        <is>
          <t>Нет</t>
        </is>
      </c>
      <c r="J9" s="202">
        <f>IF(G9="","",IF(F9="User1",G9,IF(F9="User2",0,IF(I9="Да",G9*'⚙️ Настройки'!B15,G9*0.5))))</f>
        <v/>
      </c>
      <c r="K9" s="202">
        <f>IF(G9="","",IF(F9="User2",G9,IF(F9="User1",0,IF(I9="Да",G9*'⚙️ Настройки'!B16,G9*0.5))))</f>
        <v/>
      </c>
    </row>
    <row r="10" ht="15" customHeight="1" s="149">
      <c r="A10" s="196" t="n">
        <v>46127</v>
      </c>
      <c r="B10" s="197">
        <f>IF(ISNUMBER(A10),YEAR(A10)&amp;"-"&amp;TEXT(MONTH(A10),"00"),"")</f>
        <v/>
      </c>
      <c r="C10" s="198" t="inlineStr">
        <is>
          <t>AI subscription</t>
        </is>
      </c>
      <c r="D10" s="199" t="inlineStr">
        <is>
          <t>Платежи/подписки</t>
        </is>
      </c>
      <c r="E10" s="199" t="inlineStr">
        <is>
          <t>Расход</t>
        </is>
      </c>
      <c r="F10" s="200" t="inlineStr">
        <is>
          <t>Общее</t>
        </is>
      </c>
      <c r="G10" s="201" t="n">
        <v>1990</v>
      </c>
      <c r="H10" s="199" t="inlineStr">
        <is>
          <t>Main Card</t>
        </is>
      </c>
      <c r="I10" s="199" t="inlineStr">
        <is>
          <t>Да</t>
        </is>
      </c>
      <c r="J10" s="202">
        <f>IF(G10="","",IF(F10="User1",G10,IF(F10="User2",0,IF(I10="Да",G10*'⚙️ Настройки'!B15,G10*0.5))))</f>
        <v/>
      </c>
      <c r="K10" s="202">
        <f>IF(G10="","",IF(F10="User2",G10,IF(F10="User1",0,IF(I10="Да",G10*'⚙️ Настройки'!B16,G10*0.5))))</f>
        <v/>
      </c>
    </row>
    <row r="11" ht="15" customHeight="1" s="149">
      <c r="A11" s="196" t="n">
        <v>46132</v>
      </c>
      <c r="B11" s="197">
        <f>IF(ISNUMBER(A11),YEAR(A11)&amp;"-"&amp;TEXT(MONTH(A11),"00"),"")</f>
        <v/>
      </c>
      <c r="C11" s="198" t="inlineStr">
        <is>
          <t>Salary User2</t>
        </is>
      </c>
      <c r="D11" s="199" t="inlineStr">
        <is>
          <t>Доход</t>
        </is>
      </c>
      <c r="E11" s="199" t="inlineStr">
        <is>
          <t>Доход</t>
        </is>
      </c>
      <c r="F11" s="200" t="inlineStr">
        <is>
          <t>User2</t>
        </is>
      </c>
      <c r="G11" s="201" t="n">
        <v>90000</v>
      </c>
      <c r="H11" s="199" t="inlineStr">
        <is>
          <t>Family Card</t>
        </is>
      </c>
      <c r="I11" s="199" t="inlineStr">
        <is>
          <t>Нет</t>
        </is>
      </c>
      <c r="J11" s="202">
        <f>IF(G11="","",IF(F11="User1",G11,IF(F11="User2",0,IF(I11="Да",G11*'⚙️ Настройки'!B15,G11*0.5))))</f>
        <v/>
      </c>
      <c r="K11" s="202">
        <f>IF(G11="","",IF(F11="User2",G11,IF(F11="User1",0,IF(I11="Да",G11*'⚙️ Настройки'!B16,G11*0.5))))</f>
        <v/>
      </c>
    </row>
    <row r="12" ht="15" customHeight="1" s="149">
      <c r="A12" s="196" t="n">
        <v>46133</v>
      </c>
      <c r="B12" s="197">
        <f>IF(ISNUMBER(A12),YEAR(A12)&amp;"-"&amp;TEXT(MONTH(A12),"00"),"")</f>
        <v/>
      </c>
      <c r="C12" s="198" t="inlineStr">
        <is>
          <t>Family dinner</t>
        </is>
      </c>
      <c r="D12" s="199" t="inlineStr">
        <is>
          <t>Развлечения</t>
        </is>
      </c>
      <c r="E12" s="199" t="inlineStr">
        <is>
          <t>Расход</t>
        </is>
      </c>
      <c r="F12" s="200" t="inlineStr">
        <is>
          <t>Общее</t>
        </is>
      </c>
      <c r="G12" s="201" t="n">
        <v>4300</v>
      </c>
      <c r="H12" s="199" t="inlineStr">
        <is>
          <t>Main Card</t>
        </is>
      </c>
      <c r="I12" s="199" t="inlineStr">
        <is>
          <t>Нет</t>
        </is>
      </c>
      <c r="J12" s="202">
        <f>IF(G12="","",IF(F12="User1",G12,IF(F12="User2",0,IF(I12="Да",G12*'⚙️ Настройки'!B15,G12*0.5))))</f>
        <v/>
      </c>
      <c r="K12" s="202">
        <f>IF(G12="","",IF(F12="User2",G12,IF(F12="User1",0,IF(I12="Да",G12*'⚙️ Настройки'!B16,G12*0.5))))</f>
        <v/>
      </c>
    </row>
    <row r="13" ht="15" customHeight="1" s="149">
      <c r="A13" s="203" t="n">
        <v>46135</v>
      </c>
      <c r="B13" s="197">
        <f>IF(ISNUMBER(A13),YEAR(A13)&amp;"-"&amp;TEXT(MONTH(A13),"00"),"")</f>
        <v/>
      </c>
      <c r="C13" s="198" t="inlineStr">
        <is>
          <t>Taxi</t>
        </is>
      </c>
      <c r="D13" s="199" t="inlineStr">
        <is>
          <t>Транспорт</t>
        </is>
      </c>
      <c r="E13" s="199" t="inlineStr">
        <is>
          <t>Расход</t>
        </is>
      </c>
      <c r="F13" s="200" t="inlineStr">
        <is>
          <t>User1</t>
        </is>
      </c>
      <c r="G13" s="201" t="n">
        <v>780</v>
      </c>
      <c r="H13" s="199" t="inlineStr">
        <is>
          <t>Main Card</t>
        </is>
      </c>
      <c r="I13" s="199" t="inlineStr">
        <is>
          <t>Нет</t>
        </is>
      </c>
      <c r="J13" s="202">
        <f>IF(G13="","",IF(F13="User1",G13,IF(F13="User2",0,IF(I13="Да",G13*'⚙️ Настройки'!B15,G13*0.5))))</f>
        <v/>
      </c>
      <c r="K13" s="202">
        <f>IF(G13="","",IF(F13="User2",G13,IF(F13="User1",0,IF(I13="Да",G13*'⚙️ Настройки'!B16,G13*0.5))))</f>
        <v/>
      </c>
    </row>
    <row r="14" ht="15" customHeight="1" s="149">
      <c r="A14" s="203" t="n">
        <v>46137</v>
      </c>
      <c r="B14" s="197">
        <f>IF(ISNUMBER(A14),YEAR(A14)&amp;"-"&amp;TEXT(MONTH(A14),"00"),"")</f>
        <v/>
      </c>
      <c r="C14" s="198" t="inlineStr">
        <is>
          <t>Online course</t>
        </is>
      </c>
      <c r="D14" s="199" t="inlineStr">
        <is>
          <t>Саморазвитие</t>
        </is>
      </c>
      <c r="E14" s="199" t="inlineStr">
        <is>
          <t>Расход</t>
        </is>
      </c>
      <c r="F14" s="200" t="inlineStr">
        <is>
          <t>User2</t>
        </is>
      </c>
      <c r="G14" s="201" t="n">
        <v>12000</v>
      </c>
      <c r="H14" s="199" t="inlineStr">
        <is>
          <t>Family Card</t>
        </is>
      </c>
      <c r="I14" s="199" t="inlineStr">
        <is>
          <t>Нет</t>
        </is>
      </c>
      <c r="J14" s="202">
        <f>IF(G14="","",IF(F14="User1",G14,IF(F14="User2",0,IF(I14="Да",G14*'⚙️ Настройки'!B15,G14*0.5))))</f>
        <v/>
      </c>
      <c r="K14" s="202">
        <f>IF(G14="","",IF(F14="User2",G14,IF(F14="User1",0,IF(I14="Да",G14*'⚙️ Настройки'!B16,G14*0.5))))</f>
        <v/>
      </c>
    </row>
    <row r="15" ht="15" customHeight="1" s="149">
      <c r="A15" s="196" t="n">
        <v>46139</v>
      </c>
      <c r="B15" s="197">
        <f>IF(ISNUMBER(A15),YEAR(A15)&amp;"-"&amp;TEXT(MONTH(A15),"00"),"")</f>
        <v/>
      </c>
      <c r="C15" s="198" t="inlineStr">
        <is>
          <t>Gift for friend</t>
        </is>
      </c>
      <c r="D15" s="199" t="inlineStr">
        <is>
          <t>Подарки</t>
        </is>
      </c>
      <c r="E15" s="199" t="inlineStr">
        <is>
          <t>Расход</t>
        </is>
      </c>
      <c r="F15" s="200" t="inlineStr">
        <is>
          <t>User1</t>
        </is>
      </c>
      <c r="G15" s="201" t="n">
        <v>3500</v>
      </c>
      <c r="H15" s="199" t="inlineStr">
        <is>
          <t>Main Card</t>
        </is>
      </c>
      <c r="I15" s="199" t="inlineStr">
        <is>
          <t>Нет</t>
        </is>
      </c>
      <c r="J15" s="202">
        <f>IF(G15="","",IF(F15="User1",G15,IF(F15="User2",0,IF(I15="Да",G15*'⚙️ Настройки'!B15,G15*0.5))))</f>
        <v/>
      </c>
      <c r="K15" s="202">
        <f>IF(G15="","",IF(F15="User2",G15,IF(F15="User1",0,IF(I15="Да",G15*'⚙️ Настройки'!B16,G15*0.5))))</f>
        <v/>
      </c>
    </row>
    <row r="16" ht="15" customHeight="1" s="149">
      <c r="A16" s="196" t="n">
        <v>46140</v>
      </c>
      <c r="B16" s="197">
        <f>IF(ISNUMBER(A16),YEAR(A16)&amp;"-"&amp;TEXT(MONTH(A16),"00"),"")</f>
        <v/>
      </c>
      <c r="C16" s="198" t="inlineStr">
        <is>
          <t>Home supplies</t>
        </is>
      </c>
      <c r="D16" s="199" t="inlineStr">
        <is>
          <t>Дом</t>
        </is>
      </c>
      <c r="E16" s="199" t="inlineStr">
        <is>
          <t>Расход</t>
        </is>
      </c>
      <c r="F16" s="200" t="inlineStr">
        <is>
          <t>Общее</t>
        </is>
      </c>
      <c r="G16" s="201" t="n">
        <v>2400</v>
      </c>
      <c r="H16" s="199" t="inlineStr">
        <is>
          <t>Family Card</t>
        </is>
      </c>
      <c r="I16" s="199" t="inlineStr">
        <is>
          <t>Нет</t>
        </is>
      </c>
      <c r="J16" s="202">
        <f>IF(G16="","",IF(F16="User1",G16,IF(F16="User2",0,IF(I16="Да",G16*'⚙️ Настройки'!B15,G16*0.5))))</f>
        <v/>
      </c>
      <c r="K16" s="202">
        <f>IF(G16="","",IF(F16="User2",G16,IF(F16="User1",0,IF(I16="Да",G16*'⚙️ Настройки'!B16,G16*0.5))))</f>
        <v/>
      </c>
    </row>
    <row r="17" ht="15" customHeight="1" s="149">
      <c r="A17" s="196" t="n">
        <v>46142</v>
      </c>
      <c r="B17" s="197">
        <f>IF(ISNUMBER(A17),YEAR(A17)&amp;"-"&amp;TEXT(MONTH(A17),"00"),"")</f>
        <v/>
      </c>
      <c r="C17" s="198" t="inlineStr">
        <is>
          <t>Card transfer between accounts</t>
        </is>
      </c>
      <c r="D17" s="199" t="inlineStr">
        <is>
          <t>Перевод</t>
        </is>
      </c>
      <c r="E17" s="199" t="inlineStr">
        <is>
          <t>Перевод</t>
        </is>
      </c>
      <c r="F17" s="200" t="inlineStr">
        <is>
          <t>User1</t>
        </is>
      </c>
      <c r="G17" s="201" t="n">
        <v>10000</v>
      </c>
      <c r="H17" s="199" t="inlineStr">
        <is>
          <t>Savings</t>
        </is>
      </c>
      <c r="I17" s="199" t="inlineStr">
        <is>
          <t>Нет</t>
        </is>
      </c>
      <c r="J17" s="202">
        <f>IF(G17="","",IF(F17="User1",G17,IF(F17="User2",0,IF(I17="Да",G17*'⚙️ Настройки'!B15,G17*0.5))))</f>
        <v/>
      </c>
      <c r="K17" s="202">
        <f>IF(G17="","",IF(F17="User2",G17,IF(F17="User1",0,IF(I17="Да",G17*'⚙️ Настройки'!B16,G17*0.5))))</f>
        <v/>
      </c>
    </row>
    <row r="18" ht="15" customHeight="1" s="149">
      <c r="A18" s="196" t="n"/>
      <c r="B18" s="197" t="n"/>
      <c r="C18" s="198" t="n"/>
      <c r="D18" s="199" t="n"/>
      <c r="E18" s="199" t="n"/>
      <c r="F18" s="200" t="n"/>
      <c r="G18" s="201" t="n"/>
      <c r="H18" s="199" t="n"/>
      <c r="I18" s="199" t="n"/>
      <c r="J18" s="202">
        <f>IF(G18="","",IF(F18="User1",G18,IF(F18="User2",0,IF(I18="Да",G18*'⚙️ Настройки'!B15,G18*0.5))))</f>
        <v/>
      </c>
      <c r="K18" s="202">
        <f>IF(G18="","",IF(F18="User2",G18,IF(F18="User1",0,IF(I18="Да",G18*'⚙️ Настройки'!B16,G18*0.5))))</f>
        <v/>
      </c>
    </row>
    <row r="19" ht="15" customHeight="1" s="149">
      <c r="A19" s="196" t="n"/>
      <c r="B19" s="197" t="n"/>
      <c r="C19" s="198" t="n"/>
      <c r="D19" s="199" t="n"/>
      <c r="E19" s="199" t="n"/>
      <c r="F19" s="200" t="n"/>
      <c r="G19" s="201" t="n"/>
      <c r="H19" s="199" t="n"/>
      <c r="I19" s="199" t="n"/>
      <c r="J19" s="202">
        <f>IF(G19="","",IF(F19="User1",G19,IF(F19="User2",0,IF(I19="Да",G19*'⚙️ Настройки'!B15,G19*0.5))))</f>
        <v/>
      </c>
      <c r="K19" s="202">
        <f>IF(G19="","",IF(F19="User2",G19,IF(F19="User1",0,IF(I19="Да",G19*'⚙️ Настройки'!B16,G19*0.5))))</f>
        <v/>
      </c>
    </row>
    <row r="20" ht="15" customHeight="1" s="149">
      <c r="A20" s="196" t="n"/>
      <c r="B20" s="197" t="n"/>
      <c r="C20" s="198" t="n"/>
      <c r="D20" s="199" t="n"/>
      <c r="E20" s="199" t="n"/>
      <c r="F20" s="200" t="n"/>
      <c r="G20" s="201" t="n"/>
      <c r="H20" s="199" t="n"/>
      <c r="I20" s="199" t="n"/>
      <c r="J20" s="202">
        <f>IF(G20="","",IF(F20="User1",G20,IF(F20="User2",0,IF(I20="Да",G20*'⚙️ Настройки'!B15,G20*0.5))))</f>
        <v/>
      </c>
      <c r="K20" s="202">
        <f>IF(G20="","",IF(F20="User2",G20,IF(F20="User1",0,IF(I20="Да",G20*'⚙️ Настройки'!B16,G20*0.5))))</f>
        <v/>
      </c>
    </row>
    <row r="21" ht="15" customHeight="1" s="149">
      <c r="A21" s="196" t="n"/>
      <c r="B21" s="197" t="n"/>
      <c r="C21" s="198" t="n"/>
      <c r="D21" s="199" t="n"/>
      <c r="E21" s="199" t="n"/>
      <c r="F21" s="200" t="n"/>
      <c r="G21" s="201" t="n"/>
      <c r="H21" s="199" t="n"/>
      <c r="I21" s="199" t="n"/>
      <c r="J21" s="202">
        <f>IF(G21="","",IF(F21="User1",G21,IF(F21="User2",0,IF(I21="Да",G21*'⚙️ Настройки'!B15,G21*0.5))))</f>
        <v/>
      </c>
      <c r="K21" s="202">
        <f>IF(G21="","",IF(F21="User2",G21,IF(F21="User1",0,IF(I21="Да",G21*'⚙️ Настройки'!B16,G21*0.5))))</f>
        <v/>
      </c>
    </row>
    <row r="22" ht="15" customHeight="1" s="149">
      <c r="A22" s="203" t="n"/>
      <c r="B22" s="197" t="n"/>
      <c r="C22" s="198" t="n"/>
      <c r="D22" s="199" t="n"/>
      <c r="E22" s="199" t="n"/>
      <c r="F22" s="200" t="n"/>
      <c r="G22" s="201" t="n"/>
      <c r="H22" s="199" t="n"/>
      <c r="I22" s="199" t="n"/>
      <c r="J22" s="202">
        <f>IF(G22="","",IF(F22="User1",G22,IF(F22="User2",0,IF(I22="Да",G22*'⚙️ Настройки'!B15,G22*0.5))))</f>
        <v/>
      </c>
      <c r="K22" s="202">
        <f>IF(G22="","",IF(F22="User2",G22,IF(F22="User1",0,IF(I22="Да",G22*'⚙️ Настройки'!B16,G22*0.5))))</f>
        <v/>
      </c>
    </row>
    <row r="23" ht="15" customHeight="1" s="149">
      <c r="A23" s="203" t="n"/>
      <c r="B23" s="197" t="n"/>
      <c r="C23" s="198" t="n"/>
      <c r="D23" s="199" t="n"/>
      <c r="E23" s="199" t="n"/>
      <c r="F23" s="200" t="n"/>
      <c r="G23" s="201" t="n"/>
      <c r="H23" s="199" t="n"/>
      <c r="I23" s="199" t="n"/>
      <c r="J23" s="202">
        <f>IF(G23="","",IF(F23="User1",G23,IF(F23="User2",0,IF(I23="Да",G23*'⚙️ Настройки'!B15,G23*0.5))))</f>
        <v/>
      </c>
      <c r="K23" s="202">
        <f>IF(G23="","",IF(F23="User2",G23,IF(F23="User1",0,IF(I23="Да",G23*'⚙️ Настройки'!B16,G23*0.5))))</f>
        <v/>
      </c>
    </row>
    <row r="24" ht="15" customHeight="1" s="149">
      <c r="A24" s="203" t="n"/>
      <c r="B24" s="197" t="n"/>
      <c r="C24" s="198" t="n"/>
      <c r="D24" s="199" t="n"/>
      <c r="E24" s="199" t="n"/>
      <c r="F24" s="200" t="n"/>
      <c r="G24" s="201" t="n"/>
      <c r="H24" s="199" t="n"/>
      <c r="I24" s="199" t="n"/>
      <c r="J24" s="202">
        <f>IF(G24="","",IF(F24="User1",G24,IF(F24="User2",0,IF(I24="Да",G24*'⚙️ Настройки'!B15,G24*0.5))))</f>
        <v/>
      </c>
      <c r="K24" s="202">
        <f>IF(G24="","",IF(F24="User2",G24,IF(F24="User1",0,IF(I24="Да",G24*'⚙️ Настройки'!B16,G24*0.5))))</f>
        <v/>
      </c>
    </row>
    <row r="25" ht="15" customHeight="1" s="149">
      <c r="A25" s="203" t="n"/>
      <c r="B25" s="197" t="n"/>
      <c r="C25" s="204" t="n"/>
      <c r="D25" s="205" t="n"/>
      <c r="E25" s="205" t="n"/>
      <c r="F25" s="200" t="n"/>
      <c r="G25" s="206" t="n"/>
      <c r="H25" s="205" t="n"/>
      <c r="I25" s="205" t="n"/>
      <c r="J25" s="202">
        <f>IF(G25="","",IF(F25="User1",G25,IF(F25="User2",0,IF(I25="Да",G25*'⚙️ Настройки'!B15,G25*0.5))))</f>
        <v/>
      </c>
      <c r="K25" s="202">
        <f>IF(G25="","",IF(F25="User2",G25,IF(F25="User1",0,IF(I25="Да",G25*'⚙️ Настройки'!B16,G25*0.5))))</f>
        <v/>
      </c>
    </row>
    <row r="26" ht="15" customHeight="1" s="149">
      <c r="A26" s="203" t="n"/>
      <c r="B26" s="197" t="n"/>
      <c r="C26" s="204" t="n"/>
      <c r="D26" s="205" t="n"/>
      <c r="E26" s="205" t="n"/>
      <c r="F26" s="200" t="n"/>
      <c r="G26" s="206" t="n"/>
      <c r="H26" s="205" t="n"/>
      <c r="I26" s="205" t="n"/>
      <c r="J26" s="202">
        <f>IF(G26="","",IF(F26="User1",G26,IF(F26="User2",0,IF(I26="Да",G26*'⚙️ Настройки'!B15,G26*0.5))))</f>
        <v/>
      </c>
      <c r="K26" s="202">
        <f>IF(G26="","",IF(F26="User2",G26,IF(F26="User1",0,IF(I26="Да",G26*'⚙️ Настройки'!B16,G26*0.5))))</f>
        <v/>
      </c>
    </row>
    <row r="27" ht="15" customHeight="1" s="149">
      <c r="A27" s="203" t="n"/>
      <c r="B27" s="197" t="n"/>
      <c r="C27" s="204" t="n"/>
      <c r="D27" s="205" t="n"/>
      <c r="E27" s="205" t="n"/>
      <c r="F27" s="200" t="n"/>
      <c r="G27" s="206" t="n"/>
      <c r="H27" s="205" t="n"/>
      <c r="I27" s="205" t="n"/>
      <c r="J27" s="202">
        <f>IF(G27="","",IF(F27="User1",G27,IF(F27="User2",0,IF(I27="Да",G27*'⚙️ Настройки'!B15,G27*0.5))))</f>
        <v/>
      </c>
      <c r="K27" s="202">
        <f>IF(G27="","",IF(F27="User2",G27,IF(F27="User1",0,IF(I27="Да",G27*'⚙️ Настройки'!B16,G27*0.5))))</f>
        <v/>
      </c>
    </row>
    <row r="28" ht="15" customHeight="1" s="149">
      <c r="A28" s="203" t="n"/>
      <c r="B28" s="197" t="n"/>
      <c r="C28" s="204" t="n"/>
      <c r="D28" s="205" t="n"/>
      <c r="E28" s="205" t="n"/>
      <c r="F28" s="200" t="n"/>
      <c r="G28" s="206" t="n"/>
      <c r="H28" s="205" t="n"/>
      <c r="I28" s="205" t="n"/>
      <c r="J28" s="202">
        <f>IF(G28="","",IF(F28="User1",G28,IF(F28="User2",0,IF(I28="Да",G28*'⚙️ Настройки'!B15,G28*0.5))))</f>
        <v/>
      </c>
      <c r="K28" s="202">
        <f>IF(G28="","",IF(F28="User2",G28,IF(F28="User1",0,IF(I28="Да",G28*'⚙️ Настройки'!B16,G28*0.5))))</f>
        <v/>
      </c>
    </row>
    <row r="29" ht="15" customHeight="1" s="149">
      <c r="A29" s="203" t="n"/>
      <c r="B29" s="197" t="n"/>
      <c r="C29" s="204" t="n"/>
      <c r="D29" s="205" t="n"/>
      <c r="E29" s="205" t="n"/>
      <c r="F29" s="200" t="n"/>
      <c r="G29" s="206" t="n"/>
      <c r="H29" s="205" t="n"/>
      <c r="I29" s="205" t="n"/>
      <c r="J29" s="202">
        <f>IF(G29="","",IF(F29="User1",G29,IF(F29="User2",0,IF(I29="Да",G29*'⚙️ Настройки'!B15,G29*0.5))))</f>
        <v/>
      </c>
      <c r="K29" s="202">
        <f>IF(G29="","",IF(F29="User2",G29,IF(F29="User1",0,IF(I29="Да",G29*'⚙️ Настройки'!B16,G29*0.5))))</f>
        <v/>
      </c>
    </row>
    <row r="30" ht="15" customHeight="1" s="149">
      <c r="A30" s="203" t="n"/>
      <c r="B30" s="197" t="n"/>
      <c r="C30" s="204" t="n"/>
      <c r="D30" s="205" t="n"/>
      <c r="E30" s="205" t="n"/>
      <c r="F30" s="200" t="n"/>
      <c r="G30" s="206" t="n"/>
      <c r="H30" s="205" t="n"/>
      <c r="I30" s="205" t="n"/>
      <c r="J30" s="202">
        <f>IF(G30="","",IF(F30="User1",G30,IF(F30="User2",0,IF(I30="Да",G30*'⚙️ Настройки'!B15,G30*0.5))))</f>
        <v/>
      </c>
      <c r="K30" s="202">
        <f>IF(G30="","",IF(F30="User2",G30,IF(F30="User1",0,IF(I30="Да",G30*'⚙️ Настройки'!B16,G30*0.5))))</f>
        <v/>
      </c>
    </row>
    <row r="31" ht="15" customHeight="1" s="149">
      <c r="A31" s="203" t="n"/>
      <c r="B31" s="197" t="n"/>
      <c r="C31" s="204" t="n"/>
      <c r="D31" s="205" t="n"/>
      <c r="E31" s="205" t="n"/>
      <c r="F31" s="200" t="n"/>
      <c r="G31" s="206" t="n"/>
      <c r="H31" s="205" t="n"/>
      <c r="I31" s="205" t="n"/>
      <c r="J31" s="202">
        <f>IF(G31="","",IF(F31="User1",G31,IF(F31="User2",0,IF(I31="Да",G31*'⚙️ Настройки'!B15,G31*0.5))))</f>
        <v/>
      </c>
      <c r="K31" s="202">
        <f>IF(G31="","",IF(F31="User2",G31,IF(F31="User1",0,IF(I31="Да",G31*'⚙️ Настройки'!B16,G31*0.5))))</f>
        <v/>
      </c>
    </row>
    <row r="32" ht="15" customHeight="1" s="149">
      <c r="A32" s="203" t="n"/>
      <c r="B32" s="197" t="n"/>
      <c r="C32" s="204" t="n"/>
      <c r="D32" s="205" t="n"/>
      <c r="E32" s="205" t="n"/>
      <c r="F32" s="200" t="n"/>
      <c r="G32" s="206" t="n"/>
      <c r="H32" s="205" t="n"/>
      <c r="I32" s="205" t="n"/>
      <c r="J32" s="202">
        <f>IF(G32="","",IF(F32="User1",G32,IF(F32="User2",0,IF(I32="Да",G32*'⚙️ Настройки'!B15,G32*0.5))))</f>
        <v/>
      </c>
      <c r="K32" s="202">
        <f>IF(G32="","",IF(F32="User2",G32,IF(F32="User1",0,IF(I32="Да",G32*'⚙️ Настройки'!B16,G32*0.5))))</f>
        <v/>
      </c>
    </row>
    <row r="33" ht="15" customHeight="1" s="149">
      <c r="A33" s="203" t="n"/>
      <c r="B33" s="197" t="n"/>
      <c r="C33" s="204" t="n"/>
      <c r="D33" s="205" t="n"/>
      <c r="E33" s="205" t="n"/>
      <c r="F33" s="200" t="n"/>
      <c r="G33" s="206" t="n"/>
      <c r="H33" s="205" t="n"/>
      <c r="I33" s="205" t="n"/>
      <c r="J33" s="202">
        <f>IF(G33="","",IF(F33="User1",G33,IF(F33="User2",0,IF(I33="Да",G33*'⚙️ Настройки'!B15,G33*0.5))))</f>
        <v/>
      </c>
      <c r="K33" s="202">
        <f>IF(G33="","",IF(F33="User2",G33,IF(F33="User1",0,IF(I33="Да",G33*'⚙️ Настройки'!B16,G33*0.5))))</f>
        <v/>
      </c>
    </row>
    <row r="34" ht="15" customHeight="1" s="149">
      <c r="A34" s="203" t="n"/>
      <c r="B34" s="197" t="n"/>
      <c r="C34" s="204" t="n"/>
      <c r="D34" s="205" t="n"/>
      <c r="E34" s="205" t="n"/>
      <c r="F34" s="200" t="n"/>
      <c r="G34" s="206" t="n"/>
      <c r="H34" s="205" t="n"/>
      <c r="I34" s="205" t="n"/>
      <c r="J34" s="202">
        <f>IF(G34="","",IF(F34="User1",G34,IF(F34="User2",0,IF(I34="Да",G34*'⚙️ Настройки'!B15,G34*0.5))))</f>
        <v/>
      </c>
      <c r="K34" s="202">
        <f>IF(G34="","",IF(F34="User2",G34,IF(F34="User1",0,IF(I34="Да",G34*'⚙️ Настройки'!B16,G34*0.5))))</f>
        <v/>
      </c>
    </row>
    <row r="35" ht="15" customHeight="1" s="149">
      <c r="A35" s="203" t="n"/>
      <c r="B35" s="197" t="n"/>
      <c r="C35" s="204" t="n"/>
      <c r="D35" s="205" t="n"/>
      <c r="E35" s="205" t="n"/>
      <c r="F35" s="200" t="n"/>
      <c r="G35" s="206" t="n"/>
      <c r="H35" s="205" t="n"/>
      <c r="I35" s="205" t="n"/>
      <c r="J35" s="202">
        <f>IF(G35="","",IF(F35="User1",G35,IF(F35="User2",0,IF(I35="Да",G35*'⚙️ Настройки'!B15,G35*0.5))))</f>
        <v/>
      </c>
      <c r="K35" s="202">
        <f>IF(G35="","",IF(F35="User2",G35,IF(F35="User1",0,IF(I35="Да",G35*'⚙️ Настройки'!B16,G35*0.5))))</f>
        <v/>
      </c>
    </row>
    <row r="36" ht="15" customHeight="1" s="149">
      <c r="A36" s="203" t="n"/>
      <c r="B36" s="197" t="n"/>
      <c r="C36" s="204" t="n"/>
      <c r="D36" s="205" t="n"/>
      <c r="E36" s="205" t="n"/>
      <c r="F36" s="200" t="n"/>
      <c r="G36" s="206" t="n"/>
      <c r="H36" s="205" t="n"/>
      <c r="I36" s="205" t="n"/>
      <c r="J36" s="202">
        <f>IF(G36="","",IF(F36="User1",G36,IF(F36="User2",0,IF(I36="Да",G36*'⚙️ Настройки'!B15,G36*0.5))))</f>
        <v/>
      </c>
      <c r="K36" s="202">
        <f>IF(G36="","",IF(F36="User2",G36,IF(F36="User1",0,IF(I36="Да",G36*'⚙️ Настройки'!B16,G36*0.5))))</f>
        <v/>
      </c>
    </row>
    <row r="37" ht="15" customHeight="1" s="149">
      <c r="A37" s="203" t="n"/>
      <c r="B37" s="197" t="n"/>
      <c r="C37" s="204" t="n"/>
      <c r="D37" s="205" t="n"/>
      <c r="E37" s="205" t="n"/>
      <c r="F37" s="200" t="n"/>
      <c r="G37" s="206" t="n"/>
      <c r="H37" s="205" t="n"/>
      <c r="I37" s="205" t="n"/>
      <c r="J37" s="202">
        <f>IF(G37="","",IF(F37="User1",G37,IF(F37="User2",0,IF(I37="Да",G37*'⚙️ Настройки'!B15,G37*0.5))))</f>
        <v/>
      </c>
      <c r="K37" s="202">
        <f>IF(G37="","",IF(F37="User2",G37,IF(F37="User1",0,IF(I37="Да",G37*'⚙️ Настройки'!B16,G37*0.5))))</f>
        <v/>
      </c>
    </row>
    <row r="38" ht="15" customHeight="1" s="149">
      <c r="A38" s="203" t="n"/>
      <c r="B38" s="197" t="n"/>
      <c r="C38" s="204" t="n"/>
      <c r="D38" s="205" t="n"/>
      <c r="E38" s="205" t="n"/>
      <c r="F38" s="200" t="n"/>
      <c r="G38" s="206" t="n"/>
      <c r="H38" s="205" t="n"/>
      <c r="I38" s="205" t="n"/>
      <c r="J38" s="202">
        <f>IF(G38="","",IF(F38="User1",G38,IF(F38="User2",0,IF(I38="Да",G38*'⚙️ Настройки'!B15,G38*0.5))))</f>
        <v/>
      </c>
      <c r="K38" s="202">
        <f>IF(G38="","",IF(F38="User2",G38,IF(F38="User1",0,IF(I38="Да",G38*'⚙️ Настройки'!B16,G38*0.5))))</f>
        <v/>
      </c>
    </row>
    <row r="39" ht="15" customHeight="1" s="149">
      <c r="A39" s="203" t="n"/>
      <c r="B39" s="197" t="n"/>
      <c r="C39" s="204" t="n"/>
      <c r="D39" s="205" t="n"/>
      <c r="E39" s="205" t="n"/>
      <c r="F39" s="200" t="n"/>
      <c r="G39" s="206" t="n"/>
      <c r="H39" s="205" t="n"/>
      <c r="I39" s="205" t="n"/>
      <c r="J39" s="202">
        <f>IF(G39="","",IF(F39="User1",G39,IF(F39="User2",0,IF(I39="Да",G39*'⚙️ Настройки'!B15,G39*0.5))))</f>
        <v/>
      </c>
      <c r="K39" s="202">
        <f>IF(G39="","",IF(F39="User2",G39,IF(F39="User1",0,IF(I39="Да",G39*'⚙️ Настройки'!B16,G39*0.5))))</f>
        <v/>
      </c>
    </row>
    <row r="40" ht="15" customHeight="1" s="149">
      <c r="A40" s="203" t="n"/>
      <c r="B40" s="197" t="n"/>
      <c r="C40" s="204" t="n"/>
      <c r="D40" s="205" t="n"/>
      <c r="E40" s="205" t="n"/>
      <c r="F40" s="200" t="n"/>
      <c r="G40" s="206" t="n"/>
      <c r="H40" s="205" t="n"/>
      <c r="I40" s="205" t="n"/>
      <c r="J40" s="202">
        <f>IF(G40="","",IF(F40="User1",G40,IF(F40="User2",0,IF(I40="Да",G40*'⚙️ Настройки'!B15,G40*0.5))))</f>
        <v/>
      </c>
      <c r="K40" s="202">
        <f>IF(G40="","",IF(F40="User2",G40,IF(F40="User1",0,IF(I40="Да",G40*'⚙️ Настройки'!B16,G40*0.5))))</f>
        <v/>
      </c>
    </row>
    <row r="41" ht="15" customHeight="1" s="149">
      <c r="A41" s="203" t="n"/>
      <c r="B41" s="197" t="n"/>
      <c r="C41" s="204" t="n"/>
      <c r="D41" s="205" t="n"/>
      <c r="E41" s="205" t="n"/>
      <c r="F41" s="200" t="n"/>
      <c r="G41" s="206" t="n"/>
      <c r="H41" s="205" t="n"/>
      <c r="I41" s="205" t="n"/>
      <c r="J41" s="202">
        <f>IF(G41="","",IF(F41="User1",G41,IF(F41="User2",0,IF(I41="Да",G41*'⚙️ Настройки'!B15,G41*0.5))))</f>
        <v/>
      </c>
      <c r="K41" s="202">
        <f>IF(G41="","",IF(F41="User2",G41,IF(F41="User1",0,IF(I41="Да",G41*'⚙️ Настройки'!B16,G41*0.5))))</f>
        <v/>
      </c>
    </row>
    <row r="42" ht="15" customHeight="1" s="149">
      <c r="A42" s="203" t="n"/>
      <c r="B42" s="197" t="n"/>
      <c r="C42" s="204" t="n"/>
      <c r="D42" s="205" t="n"/>
      <c r="E42" s="205" t="n"/>
      <c r="F42" s="200" t="n"/>
      <c r="G42" s="206" t="n"/>
      <c r="H42" s="205" t="n"/>
      <c r="I42" s="205" t="n"/>
      <c r="J42" s="202">
        <f>IF(G42="","",IF(F42="User1",G42,IF(F42="User2",0,IF(I42="Да",G42*'⚙️ Настройки'!B15,G42*0.5))))</f>
        <v/>
      </c>
      <c r="K42" s="202">
        <f>IF(G42="","",IF(F42="User2",G42,IF(F42="User1",0,IF(I42="Да",G42*'⚙️ Настройки'!B16,G42*0.5))))</f>
        <v/>
      </c>
    </row>
    <row r="43" ht="15" customHeight="1" s="149">
      <c r="A43" s="203" t="n"/>
      <c r="B43" s="197" t="n"/>
      <c r="C43" s="204" t="n"/>
      <c r="D43" s="205" t="n"/>
      <c r="E43" s="205" t="n"/>
      <c r="F43" s="200" t="n"/>
      <c r="G43" s="206" t="n"/>
      <c r="H43" s="205" t="n"/>
      <c r="I43" s="205" t="n"/>
      <c r="J43" s="202">
        <f>IF(G43="","",IF(F43="User1",G43,IF(F43="User2",0,IF(I43="Да",G43*'⚙️ Настройки'!B15,G43*0.5))))</f>
        <v/>
      </c>
      <c r="K43" s="202">
        <f>IF(G43="","",IF(F43="User2",G43,IF(F43="User1",0,IF(I43="Да",G43*'⚙️ Настройки'!B16,G43*0.5))))</f>
        <v/>
      </c>
    </row>
    <row r="44" ht="15" customHeight="1" s="149">
      <c r="A44" s="203" t="n"/>
      <c r="B44" s="197" t="n"/>
      <c r="C44" s="204" t="n"/>
      <c r="D44" s="205" t="n"/>
      <c r="E44" s="205" t="n"/>
      <c r="F44" s="200" t="n"/>
      <c r="G44" s="206" t="n"/>
      <c r="H44" s="205" t="n"/>
      <c r="I44" s="205" t="n"/>
      <c r="J44" s="202">
        <f>IF(G44="","",IF(F44="User1",G44,IF(F44="User2",0,IF(I44="Да",G44*'⚙️ Настройки'!B15,G44*0.5))))</f>
        <v/>
      </c>
      <c r="K44" s="202">
        <f>IF(G44="","",IF(F44="User2",G44,IF(F44="User1",0,IF(I44="Да",G44*'⚙️ Настройки'!B16,G44*0.5))))</f>
        <v/>
      </c>
    </row>
    <row r="45" ht="15" customHeight="1" s="149">
      <c r="A45" s="203" t="n"/>
      <c r="B45" s="197" t="n"/>
      <c r="C45" s="204" t="n"/>
      <c r="D45" s="205" t="n"/>
      <c r="E45" s="205" t="n"/>
      <c r="F45" s="200" t="n"/>
      <c r="G45" s="206" t="n"/>
      <c r="H45" s="205" t="n"/>
      <c r="I45" s="205" t="n"/>
      <c r="J45" s="202">
        <f>IF(G45="","",IF(F45="User1",G45,IF(F45="User2",0,IF(I45="Да",G45*'⚙️ Настройки'!B15,G45*0.5))))</f>
        <v/>
      </c>
      <c r="K45" s="202">
        <f>IF(G45="","",IF(F45="User2",G45,IF(F45="User1",0,IF(I45="Да",G45*'⚙️ Настройки'!B16,G45*0.5))))</f>
        <v/>
      </c>
    </row>
    <row r="46" ht="15" customHeight="1" s="149">
      <c r="A46" s="203" t="n"/>
      <c r="B46" s="197" t="n"/>
      <c r="C46" s="204" t="n"/>
      <c r="D46" s="205" t="n"/>
      <c r="E46" s="205" t="n"/>
      <c r="F46" s="200" t="n"/>
      <c r="G46" s="206" t="n"/>
      <c r="H46" s="205" t="n"/>
      <c r="I46" s="205" t="n"/>
      <c r="J46" s="202">
        <f>IF(G46="","",IF(F46="User1",G46,IF(F46="User2",0,IF(I46="Да",G46*'⚙️ Настройки'!B15,G46*0.5))))</f>
        <v/>
      </c>
      <c r="K46" s="202">
        <f>IF(G46="","",IF(F46="User2",G46,IF(F46="User1",0,IF(I46="Да",G46*'⚙️ Настройки'!B16,G46*0.5))))</f>
        <v/>
      </c>
    </row>
    <row r="47" ht="15" customHeight="1" s="149">
      <c r="A47" s="203" t="n"/>
      <c r="B47" s="197" t="n"/>
      <c r="C47" s="204" t="n"/>
      <c r="D47" s="205" t="n"/>
      <c r="E47" s="205" t="n"/>
      <c r="F47" s="200" t="n"/>
      <c r="G47" s="206" t="n"/>
      <c r="H47" s="205" t="n"/>
      <c r="I47" s="205" t="n"/>
      <c r="J47" s="202">
        <f>IF(G47="","",IF(F47="User1",G47,IF(F47="User2",0,IF(I47="Да",G47*'⚙️ Настройки'!B15,G47*0.5))))</f>
        <v/>
      </c>
      <c r="K47" s="202">
        <f>IF(G47="","",IF(F47="User2",G47,IF(F47="User1",0,IF(I47="Да",G47*'⚙️ Настройки'!B16,G47*0.5))))</f>
        <v/>
      </c>
    </row>
    <row r="48" ht="15" customHeight="1" s="149">
      <c r="A48" s="203" t="n"/>
      <c r="B48" s="197" t="n"/>
      <c r="C48" s="204" t="n"/>
      <c r="D48" s="205" t="n"/>
      <c r="E48" s="205" t="n"/>
      <c r="F48" s="200" t="n"/>
      <c r="G48" s="206" t="n"/>
      <c r="H48" s="205" t="n"/>
      <c r="I48" s="205" t="n"/>
      <c r="J48" s="202">
        <f>IF(G48="","",IF(F48="User1",G48,IF(F48="User2",0,IF(I48="Да",G48*'⚙️ Настройки'!B15,G48*0.5))))</f>
        <v/>
      </c>
      <c r="K48" s="202">
        <f>IF(G48="","",IF(F48="User2",G48,IF(F48="User1",0,IF(I48="Да",G48*'⚙️ Настройки'!B16,G48*0.5))))</f>
        <v/>
      </c>
    </row>
    <row r="49" ht="15" customHeight="1" s="149">
      <c r="A49" s="203" t="n"/>
      <c r="B49" s="197" t="n"/>
      <c r="C49" s="204" t="n"/>
      <c r="D49" s="205" t="n"/>
      <c r="E49" s="205" t="n"/>
      <c r="F49" s="200" t="n"/>
      <c r="G49" s="206" t="n"/>
      <c r="H49" s="205" t="n"/>
      <c r="I49" s="205" t="n"/>
      <c r="J49" s="202">
        <f>IF(G49="","",IF(F49="User1",G49,IF(F49="User2",0,IF(I49="Да",G49*'⚙️ Настройки'!B15,G49*0.5))))</f>
        <v/>
      </c>
      <c r="K49" s="202">
        <f>IF(G49="","",IF(F49="User2",G49,IF(F49="User1",0,IF(I49="Да",G49*'⚙️ Настройки'!B16,G49*0.5))))</f>
        <v/>
      </c>
    </row>
    <row r="50" ht="15" customHeight="1" s="149">
      <c r="A50" s="203" t="n"/>
      <c r="B50" s="197" t="n"/>
      <c r="C50" s="204" t="n"/>
      <c r="D50" s="205" t="n"/>
      <c r="E50" s="205" t="n"/>
      <c r="F50" s="200" t="n"/>
      <c r="G50" s="206" t="n"/>
      <c r="H50" s="205" t="n"/>
      <c r="I50" s="205" t="n"/>
      <c r="J50" s="202">
        <f>IF(G50="","",IF(F50="User1",G50,IF(F50="User2",0,IF(I50="Да",G50*'⚙️ Настройки'!B15,G50*0.5))))</f>
        <v/>
      </c>
      <c r="K50" s="202">
        <f>IF(G50="","",IF(F50="User2",G50,IF(F50="User1",0,IF(I50="Да",G50*'⚙️ Настройки'!B16,G50*0.5))))</f>
        <v/>
      </c>
    </row>
    <row r="51" ht="15" customHeight="1" s="149">
      <c r="A51" s="203" t="n"/>
      <c r="B51" s="197" t="n"/>
      <c r="C51" s="204" t="n"/>
      <c r="D51" s="205" t="n"/>
      <c r="E51" s="205" t="n"/>
      <c r="F51" s="200" t="n"/>
      <c r="G51" s="206" t="n"/>
      <c r="H51" s="205" t="n"/>
      <c r="I51" s="205" t="n"/>
      <c r="J51" s="202">
        <f>IF(G51="","",IF(F51="User1",G51,IF(F51="User2",0,IF(I51="Да",G51*'⚙️ Настройки'!B15,G51*0.5))))</f>
        <v/>
      </c>
      <c r="K51" s="202">
        <f>IF(G51="","",IF(F51="User2",G51,IF(F51="User1",0,IF(I51="Да",G51*'⚙️ Настройки'!B16,G51*0.5))))</f>
        <v/>
      </c>
    </row>
    <row r="52" ht="15" customHeight="1" s="149">
      <c r="A52" s="203" t="n"/>
      <c r="B52" s="197" t="n"/>
      <c r="C52" s="204" t="n"/>
      <c r="D52" s="205" t="n"/>
      <c r="E52" s="205" t="n"/>
      <c r="F52" s="200" t="n"/>
      <c r="G52" s="206" t="n"/>
      <c r="H52" s="205" t="n"/>
      <c r="I52" s="205" t="n"/>
      <c r="J52" s="202">
        <f>IF(G52="","",IF(F52="User1",G52,IF(F52="User2",0,IF(I52="Да",G52*'⚙️ Настройки'!B15,G52*0.5))))</f>
        <v/>
      </c>
      <c r="K52" s="202">
        <f>IF(G52="","",IF(F52="User2",G52,IF(F52="User1",0,IF(I52="Да",G52*'⚙️ Настройки'!B16,G52*0.5))))</f>
        <v/>
      </c>
    </row>
    <row r="53" ht="15" customHeight="1" s="149">
      <c r="A53" s="203" t="n"/>
      <c r="B53" s="197" t="n"/>
      <c r="C53" s="204" t="n"/>
      <c r="D53" s="205" t="n"/>
      <c r="E53" s="205" t="n"/>
      <c r="F53" s="200" t="n"/>
      <c r="G53" s="206" t="n"/>
      <c r="H53" s="205" t="n"/>
      <c r="I53" s="205" t="n"/>
      <c r="J53" s="202">
        <f>IF(G53="","",IF(F53="User1",G53,IF(F53="User2",0,IF(I53="Да",G53*'⚙️ Настройки'!B15,G53*0.5))))</f>
        <v/>
      </c>
      <c r="K53" s="202">
        <f>IF(G53="","",IF(F53="User2",G53,IF(F53="User1",0,IF(I53="Да",G53*'⚙️ Настройки'!B16,G53*0.5))))</f>
        <v/>
      </c>
    </row>
    <row r="54" ht="15" customHeight="1" s="149">
      <c r="A54" s="203" t="n"/>
      <c r="B54" s="197" t="n"/>
      <c r="C54" s="204" t="n"/>
      <c r="D54" s="205" t="n"/>
      <c r="E54" s="205" t="n"/>
      <c r="F54" s="200" t="n"/>
      <c r="G54" s="206" t="n"/>
      <c r="H54" s="205" t="n"/>
      <c r="I54" s="205" t="n"/>
      <c r="J54" s="202">
        <f>IF(G54="","",IF(F54="User1",G54,IF(F54="User2",0,IF(I54="Да",G54*'⚙️ Настройки'!B15,G54*0.5))))</f>
        <v/>
      </c>
      <c r="K54" s="202">
        <f>IF(G54="","",IF(F54="User2",G54,IF(F54="User1",0,IF(I54="Да",G54*'⚙️ Настройки'!B16,G54*0.5))))</f>
        <v/>
      </c>
    </row>
    <row r="55" ht="15" customHeight="1" s="149">
      <c r="A55" s="203" t="n"/>
      <c r="B55" s="197" t="n"/>
      <c r="C55" s="204" t="n"/>
      <c r="D55" s="205" t="n"/>
      <c r="E55" s="205" t="n"/>
      <c r="F55" s="200" t="n"/>
      <c r="G55" s="206" t="n"/>
      <c r="H55" s="205" t="n"/>
      <c r="I55" s="205" t="n"/>
      <c r="J55" s="202">
        <f>IF(G55="","",IF(F55="User1",G55,IF(F55="User2",0,IF(I55="Да",G55*'⚙️ Настройки'!B15,G55*0.5))))</f>
        <v/>
      </c>
      <c r="K55" s="202">
        <f>IF(G55="","",IF(F55="User2",G55,IF(F55="User1",0,IF(I55="Да",G55*'⚙️ Настройки'!B16,G55*0.5))))</f>
        <v/>
      </c>
    </row>
    <row r="56" ht="15" customHeight="1" s="149">
      <c r="A56" s="203" t="n"/>
      <c r="B56" s="197" t="n"/>
      <c r="C56" s="204" t="n"/>
      <c r="D56" s="205" t="n"/>
      <c r="E56" s="205" t="n"/>
      <c r="F56" s="200" t="n"/>
      <c r="G56" s="206" t="n"/>
      <c r="H56" s="205" t="n"/>
      <c r="I56" s="205" t="n"/>
      <c r="J56" s="202">
        <f>IF(G56="","",IF(F56="User1",G56,IF(F56="User2",0,IF(I56="Да",G56*'⚙️ Настройки'!B15,G56*0.5))))</f>
        <v/>
      </c>
      <c r="K56" s="202">
        <f>IF(G56="","",IF(F56="User2",G56,IF(F56="User1",0,IF(I56="Да",G56*'⚙️ Настройки'!B16,G56*0.5))))</f>
        <v/>
      </c>
    </row>
    <row r="57" ht="15" customHeight="1" s="149">
      <c r="A57" s="203" t="n"/>
      <c r="B57" s="197" t="n"/>
      <c r="C57" s="204" t="n"/>
      <c r="D57" s="205" t="n"/>
      <c r="E57" s="205" t="n"/>
      <c r="F57" s="200" t="n"/>
      <c r="G57" s="206" t="n"/>
      <c r="H57" s="205" t="n"/>
      <c r="I57" s="205" t="n"/>
      <c r="J57" s="202">
        <f>IF(G57="","",IF(F57="User1",G57,IF(F57="User2",0,IF(I57="Да",G57*'⚙️ Настройки'!B15,G57*0.5))))</f>
        <v/>
      </c>
      <c r="K57" s="202">
        <f>IF(G57="","",IF(F57="User2",G57,IF(F57="User1",0,IF(I57="Да",G57*'⚙️ Настройки'!B16,G57*0.5))))</f>
        <v/>
      </c>
    </row>
    <row r="58" ht="15" customHeight="1" s="149">
      <c r="A58" s="203" t="n"/>
      <c r="B58" s="197" t="n"/>
      <c r="C58" s="204" t="n"/>
      <c r="D58" s="205" t="n"/>
      <c r="E58" s="205" t="n"/>
      <c r="F58" s="200" t="n"/>
      <c r="G58" s="206" t="n"/>
      <c r="H58" s="205" t="n"/>
      <c r="I58" s="205" t="n"/>
      <c r="J58" s="202">
        <f>IF(G58="","",IF(F58="User1",G58,IF(F58="User2",0,IF(I58="Да",G58*'⚙️ Настройки'!B15,G58*0.5))))</f>
        <v/>
      </c>
      <c r="K58" s="202">
        <f>IF(G58="","",IF(F58="User2",G58,IF(F58="User1",0,IF(I58="Да",G58*'⚙️ Настройки'!B16,G58*0.5))))</f>
        <v/>
      </c>
    </row>
    <row r="59" ht="15" customHeight="1" s="149">
      <c r="A59" s="203" t="n"/>
      <c r="B59" s="197" t="n"/>
      <c r="C59" s="204" t="n"/>
      <c r="D59" s="205" t="n"/>
      <c r="E59" s="205" t="n"/>
      <c r="F59" s="200" t="n"/>
      <c r="G59" s="206" t="n"/>
      <c r="H59" s="205" t="n"/>
      <c r="I59" s="205" t="n"/>
      <c r="J59" s="202">
        <f>IF(G59="","",IF(F59="User1",G59,IF(F59="User2",0,IF(I59="Да",G59*'⚙️ Настройки'!B15,G59*0.5))))</f>
        <v/>
      </c>
      <c r="K59" s="202">
        <f>IF(G59="","",IF(F59="User2",G59,IF(F59="User1",0,IF(I59="Да",G59*'⚙️ Настройки'!B16,G59*0.5))))</f>
        <v/>
      </c>
    </row>
    <row r="60" ht="15" customHeight="1" s="149">
      <c r="A60" s="203" t="n"/>
      <c r="B60" s="197" t="n"/>
      <c r="C60" s="204" t="n"/>
      <c r="D60" s="205" t="n"/>
      <c r="E60" s="205" t="n"/>
      <c r="F60" s="200" t="n"/>
      <c r="G60" s="206" t="n"/>
      <c r="H60" s="205" t="n"/>
      <c r="I60" s="205" t="n"/>
      <c r="J60" s="202">
        <f>IF(G60="","",IF(F60="User1",G60,IF(F60="User2",0,IF(I60="Да",G60*'⚙️ Настройки'!B15,G60*0.5))))</f>
        <v/>
      </c>
      <c r="K60" s="202">
        <f>IF(G60="","",IF(F60="User2",G60,IF(F60="User1",0,IF(I60="Да",G60*'⚙️ Настройки'!B16,G60*0.5))))</f>
        <v/>
      </c>
    </row>
    <row r="61" ht="15" customHeight="1" s="149">
      <c r="A61" s="203" t="n"/>
      <c r="B61" s="197" t="n"/>
      <c r="C61" s="204" t="n"/>
      <c r="D61" s="205" t="n"/>
      <c r="E61" s="205" t="n"/>
      <c r="F61" s="200" t="n"/>
      <c r="G61" s="206" t="n"/>
      <c r="H61" s="205" t="n"/>
      <c r="I61" s="205" t="n"/>
      <c r="J61" s="202">
        <f>IF(G61="","",IF(F61="User1",G61,IF(F61="User2",0,IF(I61="Да",G61*'⚙️ Настройки'!B15,G61*0.5))))</f>
        <v/>
      </c>
      <c r="K61" s="202">
        <f>IF(G61="","",IF(F61="User2",G61,IF(F61="User1",0,IF(I61="Да",G61*'⚙️ Настройки'!B16,G61*0.5))))</f>
        <v/>
      </c>
    </row>
    <row r="62" ht="15" customHeight="1" s="149">
      <c r="A62" s="203" t="n"/>
      <c r="B62" s="197" t="n"/>
      <c r="C62" s="204" t="n"/>
      <c r="D62" s="205" t="n"/>
      <c r="E62" s="205" t="n"/>
      <c r="F62" s="200" t="n"/>
      <c r="G62" s="206" t="n"/>
      <c r="H62" s="205" t="n"/>
      <c r="I62" s="205" t="n"/>
      <c r="J62" s="202">
        <f>IF(G62="","",IF(F62="User1",G62,IF(F62="User2",0,IF(I62="Да",G62*'⚙️ Настройки'!B15,G62*0.5))))</f>
        <v/>
      </c>
      <c r="K62" s="202">
        <f>IF(G62="","",IF(F62="User2",G62,IF(F62="User1",0,IF(I62="Да",G62*'⚙️ Настройки'!B16,G62*0.5))))</f>
        <v/>
      </c>
    </row>
    <row r="63" ht="15" customHeight="1" s="149">
      <c r="A63" s="203" t="n"/>
      <c r="B63" s="197" t="n"/>
      <c r="C63" s="204" t="n"/>
      <c r="D63" s="205" t="n"/>
      <c r="E63" s="205" t="n"/>
      <c r="F63" s="200" t="n"/>
      <c r="G63" s="206" t="n"/>
      <c r="H63" s="205" t="n"/>
      <c r="I63" s="205" t="n"/>
      <c r="J63" s="202">
        <f>IF(G63="","",IF(F63="User1",G63,IF(F63="User2",0,IF(I63="Да",G63*'⚙️ Настройки'!B15,G63*0.5))))</f>
        <v/>
      </c>
      <c r="K63" s="202">
        <f>IF(G63="","",IF(F63="User2",G63,IF(F63="User1",0,IF(I63="Да",G63*'⚙️ Настройки'!B16,G63*0.5))))</f>
        <v/>
      </c>
    </row>
    <row r="64" ht="15" customHeight="1" s="149">
      <c r="A64" s="203" t="n"/>
      <c r="B64" s="197" t="n"/>
      <c r="C64" s="204" t="n"/>
      <c r="D64" s="205" t="n"/>
      <c r="E64" s="205" t="n"/>
      <c r="F64" s="200" t="n"/>
      <c r="G64" s="206" t="n"/>
      <c r="H64" s="205" t="n"/>
      <c r="I64" s="205" t="n"/>
      <c r="J64" s="202">
        <f>IF(G64="","",IF(F64="User1",G64,IF(F64="User2",0,IF(I64="Да",G64*'⚙️ Настройки'!B15,G64*0.5))))</f>
        <v/>
      </c>
      <c r="K64" s="202">
        <f>IF(G64="","",IF(F64="User2",G64,IF(F64="User1",0,IF(I64="Да",G64*'⚙️ Настройки'!B16,G64*0.5))))</f>
        <v/>
      </c>
    </row>
    <row r="65" ht="15" customHeight="1" s="149">
      <c r="A65" s="203" t="n"/>
      <c r="B65" s="197" t="n"/>
      <c r="C65" s="204" t="n"/>
      <c r="D65" s="205" t="n"/>
      <c r="E65" s="205" t="n"/>
      <c r="F65" s="200" t="n"/>
      <c r="G65" s="206" t="n"/>
      <c r="H65" s="205" t="n"/>
      <c r="I65" s="205" t="n"/>
      <c r="J65" s="202">
        <f>IF(G65="","",IF(F65="User1",G65,IF(F65="User2",0,IF(I65="Да",G65*'⚙️ Настройки'!B15,G65*0.5))))</f>
        <v/>
      </c>
      <c r="K65" s="202">
        <f>IF(G65="","",IF(F65="User2",G65,IF(F65="User1",0,IF(I65="Да",G65*'⚙️ Настройки'!B16,G65*0.5))))</f>
        <v/>
      </c>
    </row>
    <row r="66" ht="15" customHeight="1" s="149">
      <c r="A66" s="203" t="n"/>
      <c r="B66" s="197" t="n"/>
      <c r="C66" s="204" t="n"/>
      <c r="D66" s="205" t="n"/>
      <c r="E66" s="205" t="n"/>
      <c r="F66" s="200" t="n"/>
      <c r="G66" s="206" t="n"/>
      <c r="H66" s="205" t="n"/>
      <c r="I66" s="205" t="n"/>
      <c r="J66" s="202">
        <f>IF(G66="","",IF(F66="User1",G66,IF(F66="User2",0,IF(I66="Да",G66*'⚙️ Настройки'!B15,G66*0.5))))</f>
        <v/>
      </c>
      <c r="K66" s="202">
        <f>IF(G66="","",IF(F66="User2",G66,IF(F66="User1",0,IF(I66="Да",G66*'⚙️ Настройки'!B16,G66*0.5))))</f>
        <v/>
      </c>
    </row>
    <row r="67" ht="15" customHeight="1" s="149">
      <c r="A67" s="203" t="n"/>
      <c r="B67" s="197" t="n"/>
      <c r="C67" s="204" t="n"/>
      <c r="D67" s="205" t="n"/>
      <c r="E67" s="205" t="n"/>
      <c r="F67" s="200" t="n"/>
      <c r="G67" s="206" t="n"/>
      <c r="H67" s="205" t="n"/>
      <c r="I67" s="205" t="n"/>
      <c r="J67" s="202">
        <f>IF(G67="","",IF(F67="User1",G67,IF(F67="User2",0,IF(I67="Да",G67*'⚙️ Настройки'!B15,G67*0.5))))</f>
        <v/>
      </c>
      <c r="K67" s="202">
        <f>IF(G67="","",IF(F67="User2",G67,IF(F67="User1",0,IF(I67="Да",G67*'⚙️ Настройки'!B16,G67*0.5))))</f>
        <v/>
      </c>
    </row>
    <row r="68" ht="15" customHeight="1" s="149">
      <c r="A68" s="203" t="n"/>
      <c r="B68" s="197" t="n"/>
      <c r="C68" s="204" t="n"/>
      <c r="D68" s="205" t="n"/>
      <c r="E68" s="205" t="n"/>
      <c r="F68" s="200" t="n"/>
      <c r="G68" s="206" t="n"/>
      <c r="H68" s="205" t="n"/>
      <c r="I68" s="205" t="n"/>
      <c r="J68" s="202">
        <f>IF(G68="","",IF(F68="User1",G68,IF(F68="User2",0,IF(I68="Да",G68*'⚙️ Настройки'!B15,G68*0.5))))</f>
        <v/>
      </c>
      <c r="K68" s="202">
        <f>IF(G68="","",IF(F68="User2",G68,IF(F68="User1",0,IF(I68="Да",G68*'⚙️ Настройки'!B16,G68*0.5))))</f>
        <v/>
      </c>
    </row>
    <row r="69" ht="15" customHeight="1" s="149">
      <c r="A69" s="203" t="n"/>
      <c r="B69" s="197" t="n"/>
      <c r="C69" s="204" t="n"/>
      <c r="D69" s="205" t="n"/>
      <c r="E69" s="205" t="n"/>
      <c r="F69" s="200" t="n"/>
      <c r="G69" s="206" t="n"/>
      <c r="H69" s="205" t="n"/>
      <c r="I69" s="205" t="n"/>
      <c r="J69" s="202">
        <f>IF(G69="","",IF(F69="User1",G69,IF(F69="User2",0,IF(I69="Да",G69*'⚙️ Настройки'!B15,G69*0.5))))</f>
        <v/>
      </c>
      <c r="K69" s="202">
        <f>IF(G69="","",IF(F69="User2",G69,IF(F69="User1",0,IF(I69="Да",G69*'⚙️ Настройки'!B16,G69*0.5))))</f>
        <v/>
      </c>
    </row>
    <row r="70" ht="15" customHeight="1" s="149">
      <c r="A70" s="203" t="n"/>
      <c r="B70" s="197" t="n"/>
      <c r="C70" s="204" t="n"/>
      <c r="D70" s="205" t="n"/>
      <c r="E70" s="205" t="n"/>
      <c r="F70" s="200" t="n"/>
      <c r="G70" s="206" t="n"/>
      <c r="H70" s="205" t="n"/>
      <c r="I70" s="205" t="n"/>
      <c r="J70" s="202">
        <f>IF(G70="","",IF(F70="User1",G70,IF(F70="User2",0,IF(I70="Да",G70*'⚙️ Настройки'!B15,G70*0.5))))</f>
        <v/>
      </c>
      <c r="K70" s="202">
        <f>IF(G70="","",IF(F70="User2",G70,IF(F70="User1",0,IF(I70="Да",G70*'⚙️ Настройки'!B16,G70*0.5))))</f>
        <v/>
      </c>
    </row>
    <row r="71" ht="15" customHeight="1" s="149">
      <c r="A71" s="203" t="n"/>
      <c r="B71" s="197" t="n"/>
      <c r="C71" s="204" t="n"/>
      <c r="D71" s="205" t="n"/>
      <c r="E71" s="205" t="n"/>
      <c r="F71" s="200" t="n"/>
      <c r="G71" s="206" t="n"/>
      <c r="H71" s="205" t="n"/>
      <c r="I71" s="205" t="n"/>
      <c r="J71" s="202">
        <f>IF(G71="","",IF(F71="User1",G71,IF(F71="User2",0,IF(I71="Да",G71*'⚙️ Настройки'!B15,G71*0.5))))</f>
        <v/>
      </c>
      <c r="K71" s="202">
        <f>IF(G71="","",IF(F71="User2",G71,IF(F71="User1",0,IF(I71="Да",G71*'⚙️ Настройки'!B16,G71*0.5))))</f>
        <v/>
      </c>
    </row>
    <row r="72" ht="15" customHeight="1" s="149">
      <c r="A72" s="203" t="n"/>
      <c r="B72" s="197" t="n"/>
      <c r="C72" s="204" t="n"/>
      <c r="D72" s="205" t="n"/>
      <c r="E72" s="205" t="n"/>
      <c r="F72" s="200" t="n"/>
      <c r="G72" s="206" t="n"/>
      <c r="H72" s="205" t="n"/>
      <c r="I72" s="205" t="n"/>
      <c r="J72" s="202">
        <f>IF(G72="","",IF(F72="User1",G72,IF(F72="User2",0,IF(I72="Да",G72*'⚙️ Настройки'!B15,G72*0.5))))</f>
        <v/>
      </c>
      <c r="K72" s="202">
        <f>IF(G72="","",IF(F72="User2",G72,IF(F72="User1",0,IF(I72="Да",G72*'⚙️ Настройки'!B16,G72*0.5))))</f>
        <v/>
      </c>
    </row>
    <row r="73" ht="15" customHeight="1" s="149">
      <c r="A73" s="203" t="n"/>
      <c r="B73" s="197" t="n"/>
      <c r="C73" s="204" t="n"/>
      <c r="D73" s="205" t="n"/>
      <c r="E73" s="205" t="n"/>
      <c r="F73" s="200" t="n"/>
      <c r="G73" s="206" t="n"/>
      <c r="H73" s="205" t="n"/>
      <c r="I73" s="205" t="n"/>
      <c r="J73" s="202">
        <f>IF(G73="","",IF(F73="User1",G73,IF(F73="User2",0,IF(I73="Да",G73*'⚙️ Настройки'!B15,G73*0.5))))</f>
        <v/>
      </c>
      <c r="K73" s="202">
        <f>IF(G73="","",IF(F73="User2",G73,IF(F73="User1",0,IF(I73="Да",G73*'⚙️ Настройки'!B16,G73*0.5))))</f>
        <v/>
      </c>
    </row>
    <row r="74" ht="15" customHeight="1" s="149">
      <c r="A74" s="203" t="n"/>
      <c r="B74" s="197" t="n"/>
      <c r="C74" s="204" t="n"/>
      <c r="D74" s="205" t="n"/>
      <c r="E74" s="205" t="n"/>
      <c r="F74" s="200" t="n"/>
      <c r="G74" s="206" t="n"/>
      <c r="H74" s="205" t="n"/>
      <c r="I74" s="205" t="n"/>
      <c r="J74" s="202">
        <f>IF(G74="","",IF(F74="User1",G74,IF(F74="User2",0,IF(I74="Да",G74*'⚙️ Настройки'!B15,G74*0.5))))</f>
        <v/>
      </c>
      <c r="K74" s="202">
        <f>IF(G74="","",IF(F74="User2",G74,IF(F74="User1",0,IF(I74="Да",G74*'⚙️ Настройки'!B16,G74*0.5))))</f>
        <v/>
      </c>
    </row>
    <row r="75" ht="15" customHeight="1" s="149">
      <c r="A75" s="203" t="n"/>
      <c r="B75" s="197" t="n"/>
      <c r="C75" s="204" t="n"/>
      <c r="D75" s="205" t="n"/>
      <c r="E75" s="205" t="n"/>
      <c r="F75" s="200" t="n"/>
      <c r="G75" s="206" t="n"/>
      <c r="H75" s="205" t="n"/>
      <c r="I75" s="205" t="n"/>
      <c r="J75" s="202">
        <f>IF(G75="","",IF(F75="User1",G75,IF(F75="User2",0,IF(I75="Да",G75*'⚙️ Настройки'!B15,G75*0.5))))</f>
        <v/>
      </c>
      <c r="K75" s="202">
        <f>IF(G75="","",IF(F75="User2",G75,IF(F75="User1",0,IF(I75="Да",G75*'⚙️ Настройки'!B16,G75*0.5))))</f>
        <v/>
      </c>
    </row>
    <row r="76" ht="15" customHeight="1" s="149">
      <c r="A76" s="203" t="n"/>
      <c r="B76" s="197" t="n"/>
      <c r="C76" s="204" t="n"/>
      <c r="D76" s="205" t="n"/>
      <c r="E76" s="205" t="n"/>
      <c r="F76" s="200" t="n"/>
      <c r="G76" s="206" t="n"/>
      <c r="H76" s="205" t="n"/>
      <c r="I76" s="205" t="n"/>
      <c r="J76" s="202">
        <f>IF(G76="","",IF(F76="User1",G76,IF(F76="User2",0,IF(I76="Да",G76*'⚙️ Настройки'!B15,G76*0.5))))</f>
        <v/>
      </c>
      <c r="K76" s="202">
        <f>IF(G76="","",IF(F76="User2",G76,IF(F76="User1",0,IF(I76="Да",G76*'⚙️ Настройки'!B16,G76*0.5))))</f>
        <v/>
      </c>
    </row>
    <row r="77" ht="15" customHeight="1" s="149">
      <c r="A77" s="203" t="n"/>
      <c r="B77" s="197" t="n"/>
      <c r="C77" s="204" t="n"/>
      <c r="D77" s="205" t="n"/>
      <c r="E77" s="205" t="n"/>
      <c r="F77" s="200" t="n"/>
      <c r="G77" s="206" t="n"/>
      <c r="H77" s="205" t="n"/>
      <c r="I77" s="205" t="n"/>
      <c r="J77" s="202">
        <f>IF(G77="","",IF(F77="User1",G77,IF(F77="User2",0,IF(I77="Да",G77*'⚙️ Настройки'!B15,G77*0.5))))</f>
        <v/>
      </c>
      <c r="K77" s="202">
        <f>IF(G77="","",IF(F77="User2",G77,IF(F77="User1",0,IF(I77="Да",G77*'⚙️ Настройки'!B16,G77*0.5))))</f>
        <v/>
      </c>
    </row>
    <row r="78" ht="15" customHeight="1" s="149">
      <c r="A78" s="203" t="n"/>
      <c r="B78" s="197" t="n"/>
      <c r="C78" s="204" t="n"/>
      <c r="D78" s="205" t="n"/>
      <c r="E78" s="205" t="n"/>
      <c r="F78" s="200" t="n"/>
      <c r="G78" s="206" t="n"/>
      <c r="H78" s="205" t="n"/>
      <c r="I78" s="205" t="n"/>
      <c r="J78" s="202">
        <f>IF(G78="","",IF(F78="User1",G78,IF(F78="User2",0,IF(I78="Да",G78*'⚙️ Настройки'!B15,G78*0.5))))</f>
        <v/>
      </c>
      <c r="K78" s="202">
        <f>IF(G78="","",IF(F78="User2",G78,IF(F78="User1",0,IF(I78="Да",G78*'⚙️ Настройки'!B16,G78*0.5))))</f>
        <v/>
      </c>
    </row>
    <row r="79" ht="15" customHeight="1" s="149">
      <c r="A79" s="203" t="n"/>
      <c r="B79" s="197" t="n"/>
      <c r="C79" s="204" t="n"/>
      <c r="D79" s="205" t="n"/>
      <c r="E79" s="205" t="n"/>
      <c r="F79" s="200" t="n"/>
      <c r="G79" s="206" t="n"/>
      <c r="H79" s="205" t="n"/>
      <c r="I79" s="205" t="n"/>
      <c r="J79" s="202">
        <f>IF(G79="","",IF(F79="User1",G79,IF(F79="User2",0,IF(I79="Да",G79*'⚙️ Настройки'!B15,G79*0.5))))</f>
        <v/>
      </c>
      <c r="K79" s="202">
        <f>IF(G79="","",IF(F79="User2",G79,IF(F79="User1",0,IF(I79="Да",G79*'⚙️ Настройки'!B16,G79*0.5))))</f>
        <v/>
      </c>
    </row>
    <row r="80" ht="15" customHeight="1" s="149">
      <c r="A80" s="203" t="n"/>
      <c r="B80" s="197" t="n"/>
      <c r="C80" s="204" t="n"/>
      <c r="D80" s="205" t="n"/>
      <c r="E80" s="205" t="n"/>
      <c r="F80" s="200" t="n"/>
      <c r="G80" s="206" t="n"/>
      <c r="H80" s="205" t="n"/>
      <c r="I80" s="205" t="n"/>
      <c r="J80" s="202">
        <f>IF(G80="","",IF(F80="User1",G80,IF(F80="User2",0,IF(I80="Да",G80*'⚙️ Настройки'!B15,G80*0.5))))</f>
        <v/>
      </c>
      <c r="K80" s="202">
        <f>IF(G80="","",IF(F80="User2",G80,IF(F80="User1",0,IF(I80="Да",G80*'⚙️ Настройки'!B16,G80*0.5))))</f>
        <v/>
      </c>
    </row>
    <row r="81" ht="15" customHeight="1" s="149">
      <c r="A81" s="203" t="n"/>
      <c r="B81" s="197" t="n"/>
      <c r="C81" s="204" t="n"/>
      <c r="D81" s="205" t="n"/>
      <c r="E81" s="205" t="n"/>
      <c r="F81" s="200" t="n"/>
      <c r="G81" s="206" t="n"/>
      <c r="H81" s="205" t="n"/>
      <c r="I81" s="205" t="n"/>
      <c r="J81" s="202">
        <f>IF(G81="","",IF(F81="User1",G81,IF(F81="User2",0,IF(I81="Да",G81*'⚙️ Настройки'!B15,G81*0.5))))</f>
        <v/>
      </c>
      <c r="K81" s="202">
        <f>IF(G81="","",IF(F81="User2",G81,IF(F81="User1",0,IF(I81="Да",G81*'⚙️ Настройки'!B16,G81*0.5))))</f>
        <v/>
      </c>
    </row>
    <row r="82" ht="15" customHeight="1" s="149">
      <c r="A82" s="203" t="n"/>
      <c r="B82" s="197" t="n"/>
      <c r="C82" s="204" t="n"/>
      <c r="D82" s="205" t="n"/>
      <c r="E82" s="205" t="n"/>
      <c r="F82" s="200" t="n"/>
      <c r="G82" s="206" t="n"/>
      <c r="H82" s="205" t="n"/>
      <c r="I82" s="205" t="n"/>
      <c r="J82" s="202">
        <f>IF(G82="","",IF(F82="User1",G82,IF(F82="User2",0,IF(I82="Да",G82*'⚙️ Настройки'!B15,G82*0.5))))</f>
        <v/>
      </c>
      <c r="K82" s="202">
        <f>IF(G82="","",IF(F82="User2",G82,IF(F82="User1",0,IF(I82="Да",G82*'⚙️ Настройки'!B16,G82*0.5))))</f>
        <v/>
      </c>
    </row>
    <row r="83" ht="15" customHeight="1" s="149">
      <c r="A83" s="203" t="n"/>
      <c r="B83" s="197" t="n"/>
      <c r="C83" s="204" t="n"/>
      <c r="D83" s="205" t="n"/>
      <c r="E83" s="205" t="n"/>
      <c r="F83" s="200" t="n"/>
      <c r="G83" s="206" t="n"/>
      <c r="H83" s="205" t="n"/>
      <c r="I83" s="205" t="n"/>
      <c r="J83" s="202">
        <f>IF(G83="","",IF(F83="User1",G83,IF(F83="User2",0,IF(I83="Да",G83*'⚙️ Настройки'!B15,G83*0.5))))</f>
        <v/>
      </c>
      <c r="K83" s="202">
        <f>IF(G83="","",IF(F83="User2",G83,IF(F83="User1",0,IF(I83="Да",G83*'⚙️ Настройки'!B16,G83*0.5))))</f>
        <v/>
      </c>
    </row>
    <row r="84" ht="15" customHeight="1" s="149">
      <c r="A84" s="203" t="n"/>
      <c r="B84" s="197" t="n"/>
      <c r="C84" s="204" t="n"/>
      <c r="D84" s="205" t="n"/>
      <c r="E84" s="205" t="n"/>
      <c r="F84" s="200" t="n"/>
      <c r="G84" s="206" t="n"/>
      <c r="H84" s="205" t="n"/>
      <c r="I84" s="205" t="n"/>
      <c r="J84" s="202">
        <f>IF(G84="","",IF(F84="User1",G84,IF(F84="User2",0,IF(I84="Да",G84*'⚙️ Настройки'!B15,G84*0.5))))</f>
        <v/>
      </c>
      <c r="K84" s="202">
        <f>IF(G84="","",IF(F84="User2",G84,IF(F84="User1",0,IF(I84="Да",G84*'⚙️ Настройки'!B16,G84*0.5))))</f>
        <v/>
      </c>
    </row>
    <row r="85" ht="15" customHeight="1" s="149">
      <c r="A85" s="203" t="n"/>
      <c r="B85" s="197" t="n"/>
      <c r="C85" s="204" t="n"/>
      <c r="D85" s="205" t="n"/>
      <c r="E85" s="205" t="n"/>
      <c r="F85" s="200" t="n"/>
      <c r="G85" s="206" t="n"/>
      <c r="H85" s="205" t="n"/>
      <c r="I85" s="205" t="n"/>
      <c r="J85" s="202">
        <f>IF(G85="","",IF(F85="User1",G85,IF(F85="User2",0,IF(I85="Да",G85*'⚙️ Настройки'!B15,G85*0.5))))</f>
        <v/>
      </c>
      <c r="K85" s="202">
        <f>IF(G85="","",IF(F85="User2",G85,IF(F85="User1",0,IF(I85="Да",G85*'⚙️ Настройки'!B16,G85*0.5))))</f>
        <v/>
      </c>
    </row>
    <row r="86" ht="15" customHeight="1" s="149">
      <c r="A86" s="203" t="n"/>
      <c r="B86" s="197" t="n"/>
      <c r="C86" s="204" t="n"/>
      <c r="D86" s="205" t="n"/>
      <c r="E86" s="205" t="n"/>
      <c r="F86" s="200" t="n"/>
      <c r="G86" s="206" t="n"/>
      <c r="H86" s="205" t="n"/>
      <c r="I86" s="205" t="n"/>
      <c r="J86" s="202">
        <f>IF(G86="","",IF(F86="User1",G86,IF(F86="User2",0,IF(I86="Да",G86*'⚙️ Настройки'!B15,G86*0.5))))</f>
        <v/>
      </c>
      <c r="K86" s="202">
        <f>IF(G86="","",IF(F86="User2",G86,IF(F86="User1",0,IF(I86="Да",G86*'⚙️ Настройки'!B16,G86*0.5))))</f>
        <v/>
      </c>
    </row>
    <row r="87" ht="15" customHeight="1" s="149">
      <c r="A87" s="203" t="n"/>
      <c r="B87" s="197" t="n"/>
      <c r="C87" s="204" t="n"/>
      <c r="D87" s="205" t="n"/>
      <c r="E87" s="205" t="n"/>
      <c r="F87" s="200" t="n"/>
      <c r="G87" s="206" t="n"/>
      <c r="H87" s="205" t="n"/>
      <c r="I87" s="205" t="n"/>
      <c r="J87" s="202">
        <f>IF(G87="","",IF(F87="User1",G87,IF(F87="User2",0,IF(I87="Да",G87*'⚙️ Настройки'!B15,G87*0.5))))</f>
        <v/>
      </c>
      <c r="K87" s="202">
        <f>IF(G87="","",IF(F87="User2",G87,IF(F87="User1",0,IF(I87="Да",G87*'⚙️ Настройки'!B16,G87*0.5))))</f>
        <v/>
      </c>
    </row>
    <row r="88" ht="15" customHeight="1" s="149">
      <c r="A88" s="203" t="n"/>
      <c r="B88" s="197" t="n"/>
      <c r="C88" s="204" t="n"/>
      <c r="D88" s="205" t="n"/>
      <c r="E88" s="205" t="n"/>
      <c r="F88" s="200" t="n"/>
      <c r="G88" s="206" t="n"/>
      <c r="H88" s="205" t="n"/>
      <c r="I88" s="205" t="n"/>
      <c r="J88" s="202">
        <f>IF(G88="","",IF(F88="User1",G88,IF(F88="User2",0,IF(I88="Да",G88*'⚙️ Настройки'!B15,G88*0.5))))</f>
        <v/>
      </c>
      <c r="K88" s="202">
        <f>IF(G88="","",IF(F88="User2",G88,IF(F88="User1",0,IF(I88="Да",G88*'⚙️ Настройки'!B16,G88*0.5))))</f>
        <v/>
      </c>
    </row>
    <row r="89" ht="15" customHeight="1" s="149">
      <c r="A89" s="203" t="n"/>
      <c r="B89" s="197" t="n"/>
      <c r="C89" s="204" t="n"/>
      <c r="D89" s="205" t="n"/>
      <c r="E89" s="205" t="n"/>
      <c r="F89" s="200" t="n"/>
      <c r="G89" s="206" t="n"/>
      <c r="H89" s="205" t="n"/>
      <c r="I89" s="205" t="n"/>
      <c r="J89" s="202">
        <f>IF(G89="","",IF(F89="User1",G89,IF(F89="User2",0,IF(I89="Да",G89*'⚙️ Настройки'!B15,G89*0.5))))</f>
        <v/>
      </c>
      <c r="K89" s="202">
        <f>IF(G89="","",IF(F89="User2",G89,IF(F89="User1",0,IF(I89="Да",G89*'⚙️ Настройки'!B16,G89*0.5))))</f>
        <v/>
      </c>
    </row>
    <row r="90" ht="15" customHeight="1" s="149">
      <c r="A90" s="203" t="n"/>
      <c r="B90" s="197" t="n"/>
      <c r="C90" s="204" t="n"/>
      <c r="D90" s="205" t="n"/>
      <c r="E90" s="205" t="n"/>
      <c r="F90" s="200" t="n"/>
      <c r="G90" s="206" t="n"/>
      <c r="H90" s="205" t="n"/>
      <c r="I90" s="205" t="n"/>
      <c r="J90" s="202">
        <f>IF(G90="","",IF(F90="User1",G90,IF(F90="User2",0,IF(I90="Да",G90*'⚙️ Настройки'!B15,G90*0.5))))</f>
        <v/>
      </c>
      <c r="K90" s="202">
        <f>IF(G90="","",IF(F90="User2",G90,IF(F90="User1",0,IF(I90="Да",G90*'⚙️ Настройки'!B16,G90*0.5))))</f>
        <v/>
      </c>
    </row>
    <row r="91" ht="15" customHeight="1" s="149">
      <c r="A91" s="203" t="n"/>
      <c r="B91" s="197" t="n"/>
      <c r="C91" s="204" t="n"/>
      <c r="D91" s="205" t="n"/>
      <c r="E91" s="205" t="n"/>
      <c r="F91" s="200" t="n"/>
      <c r="G91" s="206" t="n"/>
      <c r="H91" s="205" t="n"/>
      <c r="I91" s="205" t="n"/>
      <c r="J91" s="202">
        <f>IF(G91="","",IF(F91="User1",G91,IF(F91="User2",0,IF(I91="Да",G91*'⚙️ Настройки'!B15,G91*0.5))))</f>
        <v/>
      </c>
      <c r="K91" s="202">
        <f>IF(G91="","",IF(F91="User2",G91,IF(F91="User1",0,IF(I91="Да",G91*'⚙️ Настройки'!B16,G91*0.5))))</f>
        <v/>
      </c>
    </row>
    <row r="92" ht="15" customHeight="1" s="149">
      <c r="A92" s="203" t="n"/>
      <c r="B92" s="197" t="n"/>
      <c r="C92" s="204" t="n"/>
      <c r="D92" s="205" t="n"/>
      <c r="E92" s="205" t="n"/>
      <c r="F92" s="200" t="n"/>
      <c r="G92" s="206" t="n"/>
      <c r="H92" s="205" t="n"/>
      <c r="I92" s="205" t="n"/>
      <c r="J92" s="202">
        <f>IF(G92="","",IF(F92="User1",G92,IF(F92="User2",0,IF(I92="Да",G92*'⚙️ Настройки'!B15,G92*0.5))))</f>
        <v/>
      </c>
      <c r="K92" s="202">
        <f>IF(G92="","",IF(F92="User2",G92,IF(F92="User1",0,IF(I92="Да",G92*'⚙️ Настройки'!B16,G92*0.5))))</f>
        <v/>
      </c>
    </row>
    <row r="93" ht="15" customHeight="1" s="149">
      <c r="A93" s="203" t="n"/>
      <c r="B93" s="197" t="n"/>
      <c r="C93" s="204" t="n"/>
      <c r="D93" s="205" t="n"/>
      <c r="E93" s="205" t="n"/>
      <c r="F93" s="200" t="n"/>
      <c r="G93" s="206" t="n"/>
      <c r="H93" s="205" t="n"/>
      <c r="I93" s="205" t="n"/>
      <c r="J93" s="202">
        <f>IF(G93="","",IF(F93="User1",G93,IF(F93="User2",0,IF(I93="Да",G93*'⚙️ Настройки'!B15,G93*0.5))))</f>
        <v/>
      </c>
      <c r="K93" s="202">
        <f>IF(G93="","",IF(F93="User2",G93,IF(F93="User1",0,IF(I93="Да",G93*'⚙️ Настройки'!B16,G93*0.5))))</f>
        <v/>
      </c>
    </row>
    <row r="94" ht="15" customHeight="1" s="149">
      <c r="A94" s="203" t="n"/>
      <c r="B94" s="197" t="n"/>
      <c r="C94" s="204" t="n"/>
      <c r="D94" s="205" t="n"/>
      <c r="E94" s="205" t="n"/>
      <c r="F94" s="200" t="n"/>
      <c r="G94" s="206" t="n"/>
      <c r="H94" s="205" t="n"/>
      <c r="I94" s="205" t="n"/>
      <c r="J94" s="202">
        <f>IF(G94="","",IF(F94="User1",G94,IF(F94="User2",0,IF(I94="Да",G94*'⚙️ Настройки'!B15,G94*0.5))))</f>
        <v/>
      </c>
      <c r="K94" s="202">
        <f>IF(G94="","",IF(F94="User2",G94,IF(F94="User1",0,IF(I94="Да",G94*'⚙️ Настройки'!B16,G94*0.5))))</f>
        <v/>
      </c>
    </row>
    <row r="95" ht="15" customHeight="1" s="149">
      <c r="A95" s="203" t="n"/>
      <c r="B95" s="197" t="n"/>
      <c r="C95" s="204" t="n"/>
      <c r="D95" s="205" t="n"/>
      <c r="E95" s="205" t="n"/>
      <c r="F95" s="200" t="n"/>
      <c r="G95" s="206" t="n"/>
      <c r="H95" s="205" t="n"/>
      <c r="I95" s="205" t="n"/>
      <c r="J95" s="202">
        <f>IF(G95="","",IF(F95="User1",G95,IF(F95="User2",0,IF(I95="Да",G95*'⚙️ Настройки'!B15,G95*0.5))))</f>
        <v/>
      </c>
      <c r="K95" s="202">
        <f>IF(G95="","",IF(F95="User2",G95,IF(F95="User1",0,IF(I95="Да",G95*'⚙️ Настройки'!B16,G95*0.5))))</f>
        <v/>
      </c>
    </row>
    <row r="96" ht="15" customHeight="1" s="149">
      <c r="A96" s="203" t="n"/>
      <c r="B96" s="197" t="n"/>
      <c r="C96" s="204" t="n"/>
      <c r="D96" s="205" t="n"/>
      <c r="E96" s="205" t="n"/>
      <c r="F96" s="200" t="n"/>
      <c r="G96" s="206" t="n"/>
      <c r="H96" s="205" t="n"/>
      <c r="I96" s="205" t="n"/>
      <c r="J96" s="202">
        <f>IF(G96="","",IF(F96="User1",G96,IF(F96="User2",0,IF(I96="Да",G96*'⚙️ Настройки'!B15,G96*0.5))))</f>
        <v/>
      </c>
      <c r="K96" s="202">
        <f>IF(G96="","",IF(F96="User2",G96,IF(F96="User1",0,IF(I96="Да",G96*'⚙️ Настройки'!B16,G96*0.5))))</f>
        <v/>
      </c>
    </row>
    <row r="97" ht="15" customHeight="1" s="149">
      <c r="A97" s="203" t="n"/>
      <c r="B97" s="197" t="n"/>
      <c r="C97" s="204" t="n"/>
      <c r="D97" s="205" t="n"/>
      <c r="E97" s="205" t="n"/>
      <c r="F97" s="200" t="n"/>
      <c r="G97" s="206" t="n"/>
      <c r="H97" s="205" t="n"/>
      <c r="I97" s="205" t="n"/>
      <c r="J97" s="202">
        <f>IF(G97="","",IF(F97="User1",G97,IF(F97="User2",0,IF(I97="Да",G97*'⚙️ Настройки'!B15,G97*0.5))))</f>
        <v/>
      </c>
      <c r="K97" s="202">
        <f>IF(G97="","",IF(F97="User2",G97,IF(F97="User1",0,IF(I97="Да",G97*'⚙️ Настройки'!B16,G97*0.5))))</f>
        <v/>
      </c>
    </row>
    <row r="98" ht="15" customHeight="1" s="149">
      <c r="A98" s="203" t="n"/>
      <c r="B98" s="197" t="n"/>
      <c r="C98" s="204" t="n"/>
      <c r="D98" s="205" t="n"/>
      <c r="E98" s="205" t="n"/>
      <c r="F98" s="200" t="n"/>
      <c r="G98" s="206" t="n"/>
      <c r="H98" s="205" t="n"/>
      <c r="I98" s="205" t="n"/>
      <c r="J98" s="202">
        <f>IF(G98="","",IF(F98="User1",G98,IF(F98="User2",0,IF(I98="Да",G98*'⚙️ Настройки'!B15,G98*0.5))))</f>
        <v/>
      </c>
      <c r="K98" s="202">
        <f>IF(G98="","",IF(F98="User2",G98,IF(F98="User1",0,IF(I98="Да",G98*'⚙️ Настройки'!B16,G98*0.5))))</f>
        <v/>
      </c>
    </row>
    <row r="99" ht="15" customHeight="1" s="149">
      <c r="A99" s="203" t="n"/>
      <c r="B99" s="197" t="n"/>
      <c r="C99" s="204" t="n"/>
      <c r="D99" s="205" t="n"/>
      <c r="E99" s="205" t="n"/>
      <c r="F99" s="200" t="n"/>
      <c r="G99" s="206" t="n"/>
      <c r="H99" s="205" t="n"/>
      <c r="I99" s="205" t="n"/>
      <c r="J99" s="202">
        <f>IF(G99="","",IF(F99="User1",G99,IF(F99="User2",0,IF(I99="Да",G99*'⚙️ Настройки'!B15,G99*0.5))))</f>
        <v/>
      </c>
      <c r="K99" s="202">
        <f>IF(G99="","",IF(F99="User2",G99,IF(F99="User1",0,IF(I99="Да",G99*'⚙️ Настройки'!B16,G99*0.5))))</f>
        <v/>
      </c>
    </row>
    <row r="100" ht="15" customHeight="1" s="149">
      <c r="A100" s="203" t="n"/>
      <c r="B100" s="197" t="n"/>
      <c r="C100" s="204" t="n"/>
      <c r="D100" s="205" t="n"/>
      <c r="E100" s="205" t="n"/>
      <c r="F100" s="200" t="n"/>
      <c r="G100" s="206" t="n"/>
      <c r="H100" s="205" t="n"/>
      <c r="I100" s="205" t="n"/>
      <c r="J100" s="202">
        <f>IF(G100="","",IF(F100="User1",G100,IF(F100="User2",0,IF(I100="Да",G100*'⚙️ Настройки'!B15,G100*0.5))))</f>
        <v/>
      </c>
      <c r="K100" s="202">
        <f>IF(G100="","",IF(F100="User2",G100,IF(F100="User1",0,IF(I100="Да",G100*'⚙️ Настройки'!B16,G100*0.5))))</f>
        <v/>
      </c>
    </row>
    <row r="101" ht="15" customHeight="1" s="149">
      <c r="A101" s="203" t="n"/>
      <c r="B101" s="197" t="n"/>
      <c r="C101" s="204" t="n"/>
      <c r="D101" s="205" t="n"/>
      <c r="E101" s="205" t="n"/>
      <c r="F101" s="200" t="n"/>
      <c r="G101" s="206" t="n"/>
      <c r="H101" s="205" t="n"/>
      <c r="I101" s="205" t="n"/>
      <c r="J101" s="202">
        <f>IF(G101="","",IF(F101="User1",G101,IF(F101="User2",0,IF(I101="Да",G101*'⚙️ Настройки'!B15,G101*0.5))))</f>
        <v/>
      </c>
      <c r="K101" s="202">
        <f>IF(G101="","",IF(F101="User2",G101,IF(F101="User1",0,IF(I101="Да",G101*'⚙️ Настройки'!B16,G101*0.5))))</f>
        <v/>
      </c>
    </row>
    <row r="102" ht="15" customHeight="1" s="149">
      <c r="A102" s="203" t="n"/>
      <c r="B102" s="197" t="n"/>
      <c r="C102" s="204" t="n"/>
      <c r="D102" s="205" t="n"/>
      <c r="E102" s="205" t="n"/>
      <c r="F102" s="200" t="n"/>
      <c r="G102" s="206" t="n"/>
      <c r="H102" s="205" t="n"/>
      <c r="I102" s="205" t="n"/>
      <c r="J102" s="202">
        <f>IF(G102="","",IF(F102="User1",G102,IF(F102="User2",0,IF(I102="Да",G102*'⚙️ Настройки'!B15,G102*0.5))))</f>
        <v/>
      </c>
      <c r="K102" s="202">
        <f>IF(G102="","",IF(F102="User2",G102,IF(F102="User1",0,IF(I102="Да",G102*'⚙️ Настройки'!B16,G102*0.5))))</f>
        <v/>
      </c>
    </row>
    <row r="103" ht="15" customHeight="1" s="149">
      <c r="A103" s="207" t="n"/>
      <c r="B103" s="197" t="n"/>
      <c r="C103" s="208" t="n"/>
      <c r="D103" s="208" t="n"/>
      <c r="E103" s="208" t="n"/>
      <c r="F103" s="200" t="n"/>
      <c r="G103" s="208" t="n"/>
      <c r="H103" s="208" t="n"/>
      <c r="I103" s="208" t="n"/>
      <c r="J103" s="202">
        <f>IF(G103="","",IF(F103="User1",G103,IF(F103="User2",0,IF(I103="Да",G103*'⚙️ Настройки'!B15,G103*0.5))))</f>
        <v/>
      </c>
      <c r="K103" s="202">
        <f>IF(G103="","",IF(F103="User2",G103,IF(F103="User1",0,IF(I103="Да",G103*'⚙️ Настройки'!B16,G103*0.5))))</f>
        <v/>
      </c>
    </row>
    <row r="104" ht="15" customHeight="1" s="149">
      <c r="A104" s="207" t="n"/>
      <c r="B104" s="197" t="n"/>
      <c r="C104" s="208" t="n"/>
      <c r="D104" s="208" t="n"/>
      <c r="E104" s="208" t="n"/>
      <c r="F104" s="200" t="n"/>
      <c r="G104" s="208" t="n"/>
      <c r="H104" s="208" t="n"/>
      <c r="I104" s="208" t="n"/>
      <c r="J104" s="202">
        <f>IF(G104="","",IF(F104="User1",G104,IF(F104="User2",0,IF(I104="Да",G104*'⚙️ Настройки'!B15,G104*0.5))))</f>
        <v/>
      </c>
      <c r="K104" s="202">
        <f>IF(G104="","",IF(F104="User2",G104,IF(F104="User1",0,IF(I104="Да",G104*'⚙️ Настройки'!B16,G104*0.5))))</f>
        <v/>
      </c>
    </row>
    <row r="105" ht="15" customHeight="1" s="149">
      <c r="A105" s="207" t="n"/>
      <c r="B105" s="197" t="n"/>
      <c r="C105" s="208" t="n"/>
      <c r="D105" s="208" t="n"/>
      <c r="E105" s="208" t="n"/>
      <c r="F105" s="200" t="n"/>
      <c r="G105" s="208" t="n"/>
      <c r="H105" s="208" t="n"/>
      <c r="I105" s="208" t="n"/>
      <c r="J105" s="202">
        <f>IF(G105="","",IF(F105="User1",G105,IF(F105="User2",0,IF(I105="Да",G105*'⚙️ Настройки'!B15,G105*0.5))))</f>
        <v/>
      </c>
      <c r="K105" s="202">
        <f>IF(G105="","",IF(F105="User2",G105,IF(F105="User1",0,IF(I105="Да",G105*'⚙️ Настройки'!B16,G105*0.5))))</f>
        <v/>
      </c>
    </row>
    <row r="106" ht="15" customHeight="1" s="149">
      <c r="A106" s="207" t="n"/>
      <c r="B106" s="197" t="n"/>
      <c r="C106" s="208" t="n"/>
      <c r="D106" s="208" t="n"/>
      <c r="E106" s="208" t="n"/>
      <c r="F106" s="200" t="n"/>
      <c r="G106" s="208" t="n"/>
      <c r="H106" s="208" t="n"/>
      <c r="I106" s="208" t="n"/>
      <c r="J106" s="202">
        <f>IF(G106="","",IF(F106="User1",G106,IF(F106="User2",0,IF(I106="Да",G106*'⚙️ Настройки'!B15,G106*0.5))))</f>
        <v/>
      </c>
      <c r="K106" s="202">
        <f>IF(G106="","",IF(F106="User2",G106,IF(F106="User1",0,IF(I106="Да",G106*'⚙️ Настройки'!B16,G106*0.5))))</f>
        <v/>
      </c>
    </row>
    <row r="107" ht="15" customHeight="1" s="149">
      <c r="A107" s="207" t="n"/>
      <c r="B107" s="197" t="n"/>
      <c r="C107" s="208" t="n"/>
      <c r="D107" s="208" t="n"/>
      <c r="E107" s="208" t="n"/>
      <c r="F107" s="200" t="n"/>
      <c r="G107" s="208" t="n"/>
      <c r="H107" s="208" t="n"/>
      <c r="I107" s="208" t="n"/>
      <c r="J107" s="202">
        <f>IF(G107="","",IF(F107="User1",G107,IF(F107="User2",0,IF(I107="Да",G107*'⚙️ Настройки'!B15,G107*0.5))))</f>
        <v/>
      </c>
      <c r="K107" s="202">
        <f>IF(G107="","",IF(F107="User2",G107,IF(F107="User1",0,IF(I107="Да",G107*'⚙️ Настройки'!B16,G107*0.5))))</f>
        <v/>
      </c>
    </row>
    <row r="108" ht="15" customHeight="1" s="149">
      <c r="A108" s="207" t="n"/>
      <c r="B108" s="197" t="n"/>
      <c r="C108" s="208" t="n"/>
      <c r="D108" s="208" t="n"/>
      <c r="E108" s="208" t="n"/>
      <c r="F108" s="200" t="n"/>
      <c r="G108" s="208" t="n"/>
      <c r="H108" s="208" t="n"/>
      <c r="I108" s="208" t="n"/>
      <c r="J108" s="202">
        <f>IF(G108="","",IF(F108="User1",G108,IF(F108="User2",0,IF(I108="Да",G108*'⚙️ Настройки'!B15,G108*0.5))))</f>
        <v/>
      </c>
      <c r="K108" s="202">
        <f>IF(G108="","",IF(F108="User2",G108,IF(F108="User1",0,IF(I108="Да",G108*'⚙️ Настройки'!B16,G108*0.5))))</f>
        <v/>
      </c>
    </row>
    <row r="109" ht="15" customHeight="1" s="149">
      <c r="A109" s="207" t="n"/>
      <c r="B109" s="197" t="n"/>
      <c r="C109" s="208" t="n"/>
      <c r="D109" s="208" t="n"/>
      <c r="E109" s="208" t="n"/>
      <c r="F109" s="200" t="n"/>
      <c r="G109" s="208" t="n"/>
      <c r="H109" s="208" t="n"/>
      <c r="I109" s="208" t="n"/>
      <c r="J109" s="202">
        <f>IF(G109="","",IF(F109="User1",G109,IF(F109="User2",0,IF(I109="Да",G109*'⚙️ Настройки'!B15,G109*0.5))))</f>
        <v/>
      </c>
      <c r="K109" s="202">
        <f>IF(G109="","",IF(F109="User2",G109,IF(F109="User1",0,IF(I109="Да",G109*'⚙️ Настройки'!B16,G109*0.5))))</f>
        <v/>
      </c>
    </row>
    <row r="110" ht="15" customHeight="1" s="149">
      <c r="A110" s="207" t="n"/>
      <c r="B110" s="197" t="n"/>
      <c r="C110" s="208" t="n"/>
      <c r="D110" s="208" t="n"/>
      <c r="E110" s="208" t="n"/>
      <c r="F110" s="200" t="n"/>
      <c r="G110" s="208" t="n"/>
      <c r="H110" s="208" t="n"/>
      <c r="I110" s="208" t="n"/>
      <c r="J110" s="202">
        <f>IF(G110="","",IF(F110="User1",G110,IF(F110="User2",0,IF(I110="Да",G110*'⚙️ Настройки'!B15,G110*0.5))))</f>
        <v/>
      </c>
      <c r="K110" s="202">
        <f>IF(G110="","",IF(F110="User2",G110,IF(F110="User1",0,IF(I110="Да",G110*'⚙️ Настройки'!B16,G110*0.5))))</f>
        <v/>
      </c>
    </row>
    <row r="111" ht="15" customHeight="1" s="149">
      <c r="A111" s="207" t="n"/>
      <c r="B111" s="197" t="n"/>
      <c r="C111" s="208" t="n"/>
      <c r="D111" s="208" t="n"/>
      <c r="E111" s="208" t="n"/>
      <c r="F111" s="200" t="n"/>
      <c r="G111" s="208" t="n"/>
      <c r="H111" s="208" t="n"/>
      <c r="I111" s="208" t="n"/>
      <c r="J111" s="202">
        <f>IF(G111="","",IF(F111="User1",G111,IF(F111="User2",0,IF(I111="Да",G111*'⚙️ Настройки'!B15,G111*0.5))))</f>
        <v/>
      </c>
      <c r="K111" s="202">
        <f>IF(G111="","",IF(F111="User2",G111,IF(F111="User1",0,IF(I111="Да",G111*'⚙️ Настройки'!B16,G111*0.5))))</f>
        <v/>
      </c>
    </row>
    <row r="112" ht="15" customHeight="1" s="149">
      <c r="A112" s="207" t="n"/>
      <c r="B112" s="197" t="n"/>
      <c r="C112" s="208" t="n"/>
      <c r="D112" s="208" t="n"/>
      <c r="E112" s="208" t="n"/>
      <c r="F112" s="200" t="n"/>
      <c r="G112" s="208" t="n"/>
      <c r="H112" s="208" t="n"/>
      <c r="I112" s="208" t="n"/>
      <c r="J112" s="202">
        <f>IF(G112="","",IF(F112="User1",G112,IF(F112="User2",0,IF(I112="Да",G112*'⚙️ Настройки'!B15,G112*0.5))))</f>
        <v/>
      </c>
      <c r="K112" s="202">
        <f>IF(G112="","",IF(F112="User2",G112,IF(F112="User1",0,IF(I112="Да",G112*'⚙️ Настройки'!B16,G112*0.5))))</f>
        <v/>
      </c>
    </row>
    <row r="113" ht="15" customHeight="1" s="149">
      <c r="A113" s="207" t="n"/>
      <c r="B113" s="197" t="n"/>
      <c r="C113" s="208" t="n"/>
      <c r="D113" s="208" t="n"/>
      <c r="E113" s="208" t="n"/>
      <c r="F113" s="200" t="n"/>
      <c r="G113" s="208" t="n"/>
      <c r="H113" s="208" t="n"/>
      <c r="I113" s="208" t="n"/>
      <c r="J113" s="202">
        <f>IF(G113="","",IF(F113="User1",G113,IF(F113="User2",0,IF(I113="Да",G113*'⚙️ Настройки'!B15,G113*0.5))))</f>
        <v/>
      </c>
      <c r="K113" s="202">
        <f>IF(G113="","",IF(F113="User2",G113,IF(F113="User1",0,IF(I113="Да",G113*'⚙️ Настройки'!B16,G113*0.5))))</f>
        <v/>
      </c>
    </row>
    <row r="114" ht="15" customHeight="1" s="149">
      <c r="A114" s="207" t="n"/>
      <c r="B114" s="197" t="n"/>
      <c r="C114" s="208" t="n"/>
      <c r="D114" s="208" t="n"/>
      <c r="E114" s="208" t="n"/>
      <c r="F114" s="200" t="n"/>
      <c r="G114" s="208" t="n"/>
      <c r="H114" s="208" t="n"/>
      <c r="I114" s="208" t="n"/>
      <c r="J114" s="202">
        <f>IF(G114="","",IF(F114="User1",G114,IF(F114="User2",0,IF(I114="Да",G114*'⚙️ Настройки'!B15,G114*0.5))))</f>
        <v/>
      </c>
      <c r="K114" s="202">
        <f>IF(G114="","",IF(F114="User2",G114,IF(F114="User1",0,IF(I114="Да",G114*'⚙️ Настройки'!B16,G114*0.5))))</f>
        <v/>
      </c>
    </row>
    <row r="115" ht="15" customHeight="1" s="149">
      <c r="A115" s="207" t="n"/>
      <c r="B115" s="197" t="n"/>
      <c r="C115" s="208" t="n"/>
      <c r="D115" s="208" t="n"/>
      <c r="E115" s="208" t="n"/>
      <c r="F115" s="200" t="n"/>
      <c r="G115" s="208" t="n"/>
      <c r="H115" s="208" t="n"/>
      <c r="I115" s="208" t="n"/>
      <c r="J115" s="202">
        <f>IF(G115="","",IF(F115="User1",G115,IF(F115="User2",0,IF(I115="Да",G115*'⚙️ Настройки'!B15,G115*0.5))))</f>
        <v/>
      </c>
      <c r="K115" s="202">
        <f>IF(G115="","",IF(F115="User2",G115,IF(F115="User1",0,IF(I115="Да",G115*'⚙️ Настройки'!B16,G115*0.5))))</f>
        <v/>
      </c>
    </row>
    <row r="116" ht="15" customHeight="1" s="149">
      <c r="A116" s="207" t="n"/>
      <c r="B116" s="197" t="n"/>
      <c r="C116" s="208" t="n"/>
      <c r="D116" s="208" t="n"/>
      <c r="E116" s="208" t="n"/>
      <c r="F116" s="200" t="n"/>
      <c r="G116" s="208" t="n"/>
      <c r="H116" s="208" t="n"/>
      <c r="I116" s="208" t="n"/>
      <c r="J116" s="202">
        <f>IF(G116="","",IF(F116="User1",G116,IF(F116="User2",0,IF(I116="Да",G116*'⚙️ Настройки'!B15,G116*0.5))))</f>
        <v/>
      </c>
      <c r="K116" s="202">
        <f>IF(G116="","",IF(F116="User2",G116,IF(F116="User1",0,IF(I116="Да",G116*'⚙️ Настройки'!B16,G116*0.5))))</f>
        <v/>
      </c>
    </row>
    <row r="117" ht="15" customHeight="1" s="149">
      <c r="A117" s="207" t="n"/>
      <c r="B117" s="197" t="n"/>
      <c r="C117" s="208" t="n"/>
      <c r="D117" s="208" t="n"/>
      <c r="E117" s="208" t="n"/>
      <c r="F117" s="200" t="n"/>
      <c r="G117" s="208" t="n"/>
      <c r="H117" s="208" t="n"/>
      <c r="I117" s="208" t="n"/>
      <c r="J117" s="202">
        <f>IF(G117="","",IF(F117="User1",G117,IF(F117="User2",0,IF(I117="Да",G117*'⚙️ Настройки'!B15,G117*0.5))))</f>
        <v/>
      </c>
      <c r="K117" s="202">
        <f>IF(G117="","",IF(F117="User2",G117,IF(F117="User1",0,IF(I117="Да",G117*'⚙️ Настройки'!B16,G117*0.5))))</f>
        <v/>
      </c>
    </row>
    <row r="118" ht="15" customHeight="1" s="149">
      <c r="A118" s="207" t="n"/>
      <c r="B118" s="197" t="n"/>
      <c r="C118" s="208" t="n"/>
      <c r="D118" s="208" t="n"/>
      <c r="E118" s="208" t="n"/>
      <c r="F118" s="200" t="n"/>
      <c r="G118" s="208" t="n"/>
      <c r="H118" s="208" t="n"/>
      <c r="I118" s="208" t="n"/>
      <c r="J118" s="202">
        <f>IF(G118="","",IF(F118="User1",G118,IF(F118="User2",0,IF(I118="Да",G118*'⚙️ Настройки'!B15,G118*0.5))))</f>
        <v/>
      </c>
      <c r="K118" s="202">
        <f>IF(G118="","",IF(F118="User2",G118,IF(F118="User1",0,IF(I118="Да",G118*'⚙️ Настройки'!B16,G118*0.5))))</f>
        <v/>
      </c>
    </row>
    <row r="119" ht="15" customHeight="1" s="149">
      <c r="A119" s="209" t="n"/>
      <c r="B119" s="197" t="n"/>
      <c r="J119" s="202">
        <f>IF(G119="","",IF(F119="User1",G119,IF(F119="User2",0,IF(I119="Да",G119*'⚙️ Настройки'!B15,G119*0.5))))</f>
        <v/>
      </c>
      <c r="K119" s="202">
        <f>IF(G119="","",IF(F119="User2",G119,IF(F119="User1",0,IF(I119="Да",G119*'⚙️ Настройки'!B16,G119*0.5))))</f>
        <v/>
      </c>
    </row>
    <row r="120" ht="15" customHeight="1" s="149">
      <c r="A120" s="209" t="n"/>
      <c r="B120" s="197" t="n"/>
      <c r="J120" s="202">
        <f>IF(G120="","",IF(F120="User1",G120,IF(F120="User2",0,IF(I120="Да",G120*'⚙️ Настройки'!B15,G120*0.5))))</f>
        <v/>
      </c>
      <c r="K120" s="202">
        <f>IF(G120="","",IF(F120="User2",G120,IF(F120="User1",0,IF(I120="Да",G120*'⚙️ Настройки'!B16,G120*0.5))))</f>
        <v/>
      </c>
    </row>
    <row r="121" ht="15" customHeight="1" s="149">
      <c r="A121" s="209" t="n"/>
      <c r="B121" s="197" t="n"/>
      <c r="J121" s="202">
        <f>IF(G121="","",IF(F121="User1",G121,IF(F121="User2",0,IF(I121="Да",G121*'⚙️ Настройки'!B15,G121*0.5))))</f>
        <v/>
      </c>
      <c r="K121" s="202">
        <f>IF(G121="","",IF(F121="User2",G121,IF(F121="User1",0,IF(I121="Да",G121*'⚙️ Настройки'!B16,G121*0.5))))</f>
        <v/>
      </c>
    </row>
    <row r="122" ht="15" customHeight="1" s="149">
      <c r="A122" s="209" t="n"/>
      <c r="B122" s="197" t="n"/>
      <c r="J122" s="202">
        <f>IF(G122="","",IF(F122="User1",G122,IF(F122="User2",0,IF(I122="Да",G122*'⚙️ Настройки'!B15,G122*0.5))))</f>
        <v/>
      </c>
      <c r="K122" s="202">
        <f>IF(G122="","",IF(F122="User2",G122,IF(F122="User1",0,IF(I122="Да",G122*'⚙️ Настройки'!B16,G122*0.5))))</f>
        <v/>
      </c>
    </row>
    <row r="123" ht="15" customHeight="1" s="149">
      <c r="A123" s="209" t="n"/>
      <c r="B123" s="197" t="n"/>
      <c r="J123" s="202">
        <f>IF(G123="","",IF(F123="User1",G123,IF(F123="User2",0,IF(I123="Да",G123*'⚙️ Настройки'!B15,G123*0.5))))</f>
        <v/>
      </c>
      <c r="K123" s="202">
        <f>IF(G123="","",IF(F123="User2",G123,IF(F123="User1",0,IF(I123="Да",G123*'⚙️ Настройки'!B16,G123*0.5))))</f>
        <v/>
      </c>
    </row>
    <row r="124" ht="15" customHeight="1" s="149">
      <c r="A124" s="209" t="n"/>
      <c r="B124" s="197" t="n"/>
      <c r="J124" s="202">
        <f>IF(G124="","",IF(F124="User1",G124,IF(F124="User2",0,IF(I124="Да",G124*'⚙️ Настройки'!B15,G124*0.5))))</f>
        <v/>
      </c>
      <c r="K124" s="202">
        <f>IF(G124="","",IF(F124="User2",G124,IF(F124="User1",0,IF(I124="Да",G124*'⚙️ Настройки'!B16,G124*0.5))))</f>
        <v/>
      </c>
    </row>
    <row r="125" ht="15" customHeight="1" s="149">
      <c r="A125" s="209" t="n"/>
      <c r="B125" s="197" t="n"/>
      <c r="J125" s="202">
        <f>IF(G125="","",IF(F125="User1",G125,IF(F125="User2",0,IF(I125="Да",G125*'⚙️ Настройки'!B15,G125*0.5))))</f>
        <v/>
      </c>
      <c r="K125" s="202">
        <f>IF(G125="","",IF(F125="User2",G125,IF(F125="User1",0,IF(I125="Да",G125*'⚙️ Настройки'!B16,G125*0.5))))</f>
        <v/>
      </c>
    </row>
    <row r="126" ht="15" customHeight="1" s="149">
      <c r="A126" s="209" t="n"/>
      <c r="B126" s="197" t="n"/>
      <c r="J126" s="202">
        <f>IF(G126="","",IF(F126="User1",G126,IF(F126="User2",0,IF(I126="Да",G126*'⚙️ Настройки'!B15,G126*0.5))))</f>
        <v/>
      </c>
      <c r="K126" s="202">
        <f>IF(G126="","",IF(F126="User2",G126,IF(F126="User1",0,IF(I126="Да",G126*'⚙️ Настройки'!B16,G126*0.5))))</f>
        <v/>
      </c>
    </row>
    <row r="127" ht="15" customHeight="1" s="149">
      <c r="A127" s="209" t="n"/>
      <c r="B127" s="197" t="n"/>
      <c r="J127" s="202">
        <f>IF(G127="","",IF(F127="User1",G127,IF(F127="User2",0,IF(I127="Да",G127*'⚙️ Настройки'!B15,G127*0.5))))</f>
        <v/>
      </c>
      <c r="K127" s="202">
        <f>IF(G127="","",IF(F127="User2",G127,IF(F127="User1",0,IF(I127="Да",G127*'⚙️ Настройки'!B16,G127*0.5))))</f>
        <v/>
      </c>
    </row>
    <row r="128" ht="15" customHeight="1" s="149">
      <c r="A128" s="209" t="n"/>
      <c r="B128" s="197" t="n"/>
      <c r="J128" s="202">
        <f>IF(G128="","",IF(F128="User1",G128,IF(F128="User2",0,IF(I128="Да",G128*'⚙️ Настройки'!B15,G128*0.5))))</f>
        <v/>
      </c>
      <c r="K128" s="202">
        <f>IF(G128="","",IF(F128="User2",G128,IF(F128="User1",0,IF(I128="Да",G128*'⚙️ Настройки'!B16,G128*0.5))))</f>
        <v/>
      </c>
    </row>
    <row r="129" ht="15" customHeight="1" s="149">
      <c r="A129" s="209" t="n"/>
      <c r="B129" s="197" t="n"/>
      <c r="J129" s="202">
        <f>IF(G129="","",IF(F129="User1",G129,IF(F129="User2",0,IF(I129="Да",G129*'⚙️ Настройки'!B15,G129*0.5))))</f>
        <v/>
      </c>
      <c r="K129" s="202">
        <f>IF(G129="","",IF(F129="User2",G129,IF(F129="User1",0,IF(I129="Да",G129*'⚙️ Настройки'!B16,G129*0.5))))</f>
        <v/>
      </c>
    </row>
    <row r="130" ht="15" customHeight="1" s="149">
      <c r="A130" s="209" t="n"/>
      <c r="B130" s="197" t="n"/>
      <c r="J130" s="202">
        <f>IF(G130="","",IF(F130="User1",G130,IF(F130="User2",0,IF(I130="Да",G130*'⚙️ Настройки'!B15,G130*0.5))))</f>
        <v/>
      </c>
      <c r="K130" s="202">
        <f>IF(G130="","",IF(F130="User2",G130,IF(F130="User1",0,IF(I130="Да",G130*'⚙️ Настройки'!B16,G130*0.5))))</f>
        <v/>
      </c>
    </row>
    <row r="131" ht="15" customHeight="1" s="149">
      <c r="A131" s="209" t="n"/>
      <c r="B131" s="197" t="n"/>
      <c r="J131" s="202">
        <f>IF(G131="","",IF(F131="User1",G131,IF(F131="User2",0,IF(I131="Да",G131*'⚙️ Настройки'!B15,G131*0.5))))</f>
        <v/>
      </c>
      <c r="K131" s="202">
        <f>IF(G131="","",IF(F131="User2",G131,IF(F131="User1",0,IF(I131="Да",G131*'⚙️ Настройки'!B16,G131*0.5))))</f>
        <v/>
      </c>
    </row>
    <row r="132" ht="15" customHeight="1" s="149">
      <c r="A132" s="209" t="n"/>
      <c r="B132" s="197" t="n"/>
      <c r="J132" s="202">
        <f>IF(G132="","",IF(F132="User1",G132,IF(F132="User2",0,IF(I132="Да",G132*'⚙️ Настройки'!B15,G132*0.5))))</f>
        <v/>
      </c>
      <c r="K132" s="202">
        <f>IF(G132="","",IF(F132="User2",G132,IF(F132="User1",0,IF(I132="Да",G132*'⚙️ Настройки'!B16,G132*0.5))))</f>
        <v/>
      </c>
    </row>
    <row r="133" ht="15" customHeight="1" s="149">
      <c r="A133" s="209" t="n"/>
      <c r="B133" s="197" t="n"/>
      <c r="J133" s="202">
        <f>IF(G133="","",IF(F133="User1",G133,IF(F133="User2",0,IF(I133="Да",G133*'⚙️ Настройки'!B15,G133*0.5))))</f>
        <v/>
      </c>
      <c r="K133" s="202">
        <f>IF(G133="","",IF(F133="User2",G133,IF(F133="User1",0,IF(I133="Да",G133*'⚙️ Настройки'!B16,G133*0.5))))</f>
        <v/>
      </c>
    </row>
    <row r="134" ht="15" customHeight="1" s="149">
      <c r="A134" s="209" t="n"/>
      <c r="B134" s="197" t="n"/>
      <c r="J134" s="202">
        <f>IF(G134="","",IF(F134="User1",G134,IF(F134="User2",0,IF(I134="Да",G134*'⚙️ Настройки'!B15,G134*0.5))))</f>
        <v/>
      </c>
      <c r="K134" s="202">
        <f>IF(G134="","",IF(F134="User2",G134,IF(F134="User1",0,IF(I134="Да",G134*'⚙️ Настройки'!B16,G134*0.5))))</f>
        <v/>
      </c>
    </row>
    <row r="135" ht="15" customHeight="1" s="149">
      <c r="A135" s="209" t="n"/>
      <c r="B135" s="197" t="n"/>
      <c r="J135" s="202">
        <f>IF(G135="","",IF(F135="User1",G135,IF(F135="User2",0,IF(I135="Да",G135*'⚙️ Настройки'!B15,G135*0.5))))</f>
        <v/>
      </c>
      <c r="K135" s="202">
        <f>IF(G135="","",IF(F135="User2",G135,IF(F135="User1",0,IF(I135="Да",G135*'⚙️ Настройки'!B16,G135*0.5))))</f>
        <v/>
      </c>
    </row>
    <row r="136" ht="15" customHeight="1" s="149">
      <c r="A136" s="209" t="n"/>
      <c r="B136" s="197" t="n"/>
      <c r="J136" s="202">
        <f>IF(G136="","",IF(F136="User1",G136,IF(F136="User2",0,IF(I136="Да",G136*'⚙️ Настройки'!B15,G136*0.5))))</f>
        <v/>
      </c>
      <c r="K136" s="202">
        <f>IF(G136="","",IF(F136="User2",G136,IF(F136="User1",0,IF(I136="Да",G136*'⚙️ Настройки'!B16,G136*0.5))))</f>
        <v/>
      </c>
    </row>
    <row r="137" ht="15" customHeight="1" s="149">
      <c r="A137" s="209" t="n"/>
      <c r="B137" s="197" t="n"/>
      <c r="J137" s="202">
        <f>IF(G137="","",IF(F137="User1",G137,IF(F137="User2",0,IF(I137="Да",G137*'⚙️ Настройки'!B15,G137*0.5))))</f>
        <v/>
      </c>
      <c r="K137" s="202">
        <f>IF(G137="","",IF(F137="User2",G137,IF(F137="User1",0,IF(I137="Да",G137*'⚙️ Настройки'!B16,G137*0.5))))</f>
        <v/>
      </c>
    </row>
    <row r="138" ht="15" customHeight="1" s="149">
      <c r="A138" s="209" t="n"/>
      <c r="B138" s="197" t="n"/>
      <c r="J138" s="202">
        <f>IF(G138="","",IF(F138="User1",G138,IF(F138="User2",0,IF(I138="Да",G138*'⚙️ Настройки'!B15,G138*0.5))))</f>
        <v/>
      </c>
      <c r="K138" s="202">
        <f>IF(G138="","",IF(F138="User2",G138,IF(F138="User1",0,IF(I138="Да",G138*'⚙️ Настройки'!B16,G138*0.5))))</f>
        <v/>
      </c>
    </row>
    <row r="139" ht="15" customHeight="1" s="149">
      <c r="A139" s="209" t="n"/>
      <c r="B139" s="197" t="n"/>
      <c r="J139" s="202">
        <f>IF(G139="","",IF(F139="User1",G139,IF(F139="User2",0,IF(I139="Да",G139*'⚙️ Настройки'!B15,G139*0.5))))</f>
        <v/>
      </c>
      <c r="K139" s="202">
        <f>IF(G139="","",IF(F139="User2",G139,IF(F139="User1",0,IF(I139="Да",G139*'⚙️ Настройки'!B16,G139*0.5))))</f>
        <v/>
      </c>
    </row>
    <row r="140" ht="15" customHeight="1" s="149">
      <c r="A140" s="209" t="n"/>
      <c r="B140" s="197" t="n"/>
      <c r="J140" s="202">
        <f>IF(G140="","",IF(F140="User1",G140,IF(F140="User2",0,IF(I140="Да",G140*'⚙️ Настройки'!B15,G140*0.5))))</f>
        <v/>
      </c>
      <c r="K140" s="202">
        <f>IF(G140="","",IF(F140="User2",G140,IF(F140="User1",0,IF(I140="Да",G140*'⚙️ Настройки'!B16,G140*0.5))))</f>
        <v/>
      </c>
    </row>
    <row r="141" ht="15" customHeight="1" s="149">
      <c r="A141" s="209" t="n"/>
      <c r="B141" s="197" t="n"/>
      <c r="J141" s="202">
        <f>IF(G141="","",IF(F141="User1",G141,IF(F141="User2",0,IF(I141="Да",G141*'⚙️ Настройки'!B15,G141*0.5))))</f>
        <v/>
      </c>
      <c r="K141" s="202">
        <f>IF(G141="","",IF(F141="User2",G141,IF(F141="User1",0,IF(I141="Да",G141*'⚙️ Настройки'!B16,G141*0.5))))</f>
        <v/>
      </c>
    </row>
    <row r="142" ht="15" customHeight="1" s="149">
      <c r="A142" s="209" t="n"/>
      <c r="B142" s="197" t="n"/>
      <c r="J142" s="202">
        <f>IF(G142="","",IF(F142="User1",G142,IF(F142="User2",0,IF(I142="Да",G142*'⚙️ Настройки'!B15,G142*0.5))))</f>
        <v/>
      </c>
      <c r="K142" s="202">
        <f>IF(G142="","",IF(F142="User2",G142,IF(F142="User1",0,IF(I142="Да",G142*'⚙️ Настройки'!B16,G142*0.5))))</f>
        <v/>
      </c>
    </row>
    <row r="143" ht="15" customHeight="1" s="149">
      <c r="A143" s="209" t="n"/>
      <c r="B143" s="197" t="n"/>
      <c r="J143" s="202">
        <f>IF(G143="","",IF(F143="User1",G143,IF(F143="User2",0,IF(I143="Да",G143*'⚙️ Настройки'!B15,G143*0.5))))</f>
        <v/>
      </c>
      <c r="K143" s="202">
        <f>IF(G143="","",IF(F143="User2",G143,IF(F143="User1",0,IF(I143="Да",G143*'⚙️ Настройки'!B16,G143*0.5))))</f>
        <v/>
      </c>
    </row>
    <row r="144" ht="15" customHeight="1" s="149">
      <c r="A144" s="209" t="n"/>
      <c r="B144" s="197" t="n"/>
      <c r="J144" s="202">
        <f>IF(G144="","",IF(F144="User1",G144,IF(F144="User2",0,IF(I144="Да",G144*'⚙️ Настройки'!B15,G144*0.5))))</f>
        <v/>
      </c>
      <c r="K144" s="202">
        <f>IF(G144="","",IF(F144="User2",G144,IF(F144="User1",0,IF(I144="Да",G144*'⚙️ Настройки'!B16,G144*0.5))))</f>
        <v/>
      </c>
    </row>
    <row r="145" ht="15" customHeight="1" s="149">
      <c r="A145" s="209" t="n"/>
      <c r="B145" s="197" t="n"/>
      <c r="J145" s="202">
        <f>IF(G145="","",IF(F145="User1",G145,IF(F145="User2",0,IF(I145="Да",G145*'⚙️ Настройки'!B15,G145*0.5))))</f>
        <v/>
      </c>
      <c r="K145" s="202">
        <f>IF(G145="","",IF(F145="User2",G145,IF(F145="User1",0,IF(I145="Да",G145*'⚙️ Настройки'!B16,G145*0.5))))</f>
        <v/>
      </c>
    </row>
    <row r="146" ht="15" customHeight="1" s="149">
      <c r="A146" s="209" t="n"/>
      <c r="B146" s="197" t="n"/>
      <c r="J146" s="202">
        <f>IF(G146="","",IF(F146="User1",G146,IF(F146="User2",0,IF(I146="Да",G146*'⚙️ Настройки'!B15,G146*0.5))))</f>
        <v/>
      </c>
      <c r="K146" s="202">
        <f>IF(G146="","",IF(F146="User2",G146,IF(F146="User1",0,IF(I146="Да",G146*'⚙️ Настройки'!B16,G146*0.5))))</f>
        <v/>
      </c>
    </row>
    <row r="147" ht="15" customHeight="1" s="149">
      <c r="A147" s="209" t="n"/>
      <c r="B147" s="197" t="n"/>
      <c r="J147" s="202">
        <f>IF(G147="","",IF(F147="User1",G147,IF(F147="User2",0,IF(I147="Да",G147*'⚙️ Настройки'!B15,G147*0.5))))</f>
        <v/>
      </c>
      <c r="K147" s="202">
        <f>IF(G147="","",IF(F147="User2",G147,IF(F147="User1",0,IF(I147="Да",G147*'⚙️ Настройки'!B16,G147*0.5))))</f>
        <v/>
      </c>
    </row>
    <row r="148" ht="15" customHeight="1" s="149">
      <c r="A148" s="209" t="n"/>
      <c r="B148" s="197" t="n"/>
      <c r="J148" s="202">
        <f>IF(G148="","",IF(F148="User1",G148,IF(F148="User2",0,IF(I148="Да",G148*'⚙️ Настройки'!B15,G148*0.5))))</f>
        <v/>
      </c>
      <c r="K148" s="202">
        <f>IF(G148="","",IF(F148="User2",G148,IF(F148="User1",0,IF(I148="Да",G148*'⚙️ Настройки'!B16,G148*0.5))))</f>
        <v/>
      </c>
    </row>
    <row r="149" ht="15" customHeight="1" s="149">
      <c r="A149" s="209" t="n"/>
      <c r="B149" s="197" t="n"/>
      <c r="J149" s="202">
        <f>IF(G149="","",IF(F149="User1",G149,IF(F149="User2",0,IF(I149="Да",G149*'⚙️ Настройки'!B15,G149*0.5))))</f>
        <v/>
      </c>
      <c r="K149" s="202">
        <f>IF(G149="","",IF(F149="User2",G149,IF(F149="User1",0,IF(I149="Да",G149*'⚙️ Настройки'!B16,G149*0.5))))</f>
        <v/>
      </c>
    </row>
    <row r="150" ht="15" customHeight="1" s="149">
      <c r="A150" s="209" t="n"/>
      <c r="B150" s="197" t="n"/>
      <c r="J150" s="202">
        <f>IF(G150="","",IF(F150="User1",G150,IF(F150="User2",0,IF(I150="Да",G150*'⚙️ Настройки'!B15,G150*0.5))))</f>
        <v/>
      </c>
      <c r="K150" s="202">
        <f>IF(G150="","",IF(F150="User2",G150,IF(F150="User1",0,IF(I150="Да",G150*'⚙️ Настройки'!B16,G150*0.5))))</f>
        <v/>
      </c>
    </row>
    <row r="151" ht="15" customHeight="1" s="149">
      <c r="A151" s="209" t="n"/>
      <c r="B151" s="210" t="n"/>
      <c r="J151" s="202">
        <f>IF(G151="","",IF(F151="User1",G151,IF(F151="User2",0,IF(I151="Да",G151*'⚙️ Настройки'!B15,G151*0.5))))</f>
        <v/>
      </c>
      <c r="K151" s="202">
        <f>IF(G151="","",IF(F151="User2",G151,IF(F151="User1",0,IF(I151="Да",G151*'⚙️ Настройки'!B16,G151*0.5))))</f>
        <v/>
      </c>
    </row>
    <row r="152" ht="15" customHeight="1" s="149">
      <c r="A152" s="209" t="n"/>
      <c r="B152" s="210" t="n"/>
      <c r="J152" s="202">
        <f>IF(G152="","",IF(F152="User1",G152,IF(F152="User2",0,IF(I152="Да",G152*'⚙️ Настройки'!B15,G152*0.5))))</f>
        <v/>
      </c>
      <c r="K152" s="202">
        <f>IF(G152="","",IF(F152="User2",G152,IF(F152="User1",0,IF(I152="Да",G152*'⚙️ Настройки'!B16,G152*0.5))))</f>
        <v/>
      </c>
    </row>
    <row r="153" ht="15" customHeight="1" s="149">
      <c r="A153" s="209" t="n"/>
      <c r="B153" s="210" t="n"/>
      <c r="J153" s="202">
        <f>IF(G153="","",IF(F153="User1",G153,IF(F153="User2",0,IF(I153="Да",G153*'⚙️ Настройки'!B15,G153*0.5))))</f>
        <v/>
      </c>
      <c r="K153" s="202">
        <f>IF(G153="","",IF(F153="User2",G153,IF(F153="User1",0,IF(I153="Да",G153*'⚙️ Настройки'!B16,G153*0.5))))</f>
        <v/>
      </c>
    </row>
    <row r="154" ht="15" customHeight="1" s="149">
      <c r="A154" s="209" t="n"/>
      <c r="B154" s="210" t="n"/>
      <c r="J154" s="202">
        <f>IF(G154="","",IF(F154="User1",G154,IF(F154="User2",0,IF(I154="Да",G154*'⚙️ Настройки'!B15,G154*0.5))))</f>
        <v/>
      </c>
      <c r="K154" s="202">
        <f>IF(G154="","",IF(F154="User2",G154,IF(F154="User1",0,IF(I154="Да",G154*'⚙️ Настройки'!B16,G154*0.5))))</f>
        <v/>
      </c>
    </row>
    <row r="155" ht="15" customHeight="1" s="149">
      <c r="A155" s="209" t="n"/>
      <c r="B155" s="210" t="n"/>
      <c r="J155" s="202">
        <f>IF(G155="","",IF(F155="User1",G155,IF(F155="User2",0,IF(I155="Да",G155*'⚙️ Настройки'!B15,G155*0.5))))</f>
        <v/>
      </c>
      <c r="K155" s="202">
        <f>IF(G155="","",IF(F155="User2",G155,IF(F155="User1",0,IF(I155="Да",G155*'⚙️ Настройки'!B16,G155*0.5))))</f>
        <v/>
      </c>
    </row>
    <row r="156" ht="15" customHeight="1" s="149">
      <c r="A156" s="209" t="n"/>
      <c r="B156" s="210" t="n"/>
      <c r="J156" s="202">
        <f>IF(G156="","",IF(F156="User1",G156,IF(F156="User2",0,IF(I156="Да",G156*'⚙️ Настройки'!B15,G156*0.5))))</f>
        <v/>
      </c>
      <c r="K156" s="202">
        <f>IF(G156="","",IF(F156="User2",G156,IF(F156="User1",0,IF(I156="Да",G156*'⚙️ Настройки'!B16,G156*0.5))))</f>
        <v/>
      </c>
    </row>
    <row r="157" ht="15" customHeight="1" s="149">
      <c r="A157" s="209" t="n"/>
      <c r="B157" s="210" t="n"/>
      <c r="J157" s="202">
        <f>IF(G157="","",IF(F157="User1",G157,IF(F157="User2",0,IF(I157="Да",G157*'⚙️ Настройки'!B15,G157*0.5))))</f>
        <v/>
      </c>
      <c r="K157" s="202">
        <f>IF(G157="","",IF(F157="User2",G157,IF(F157="User1",0,IF(I157="Да",G157*'⚙️ Настройки'!B16,G157*0.5))))</f>
        <v/>
      </c>
    </row>
    <row r="158" ht="15" customHeight="1" s="149">
      <c r="A158" s="209" t="n"/>
      <c r="B158" s="210" t="n"/>
      <c r="J158" s="202">
        <f>IF(G158="","",IF(F158="User1",G158,IF(F158="User2",0,IF(I158="Да",G158*'⚙️ Настройки'!B15,G158*0.5))))</f>
        <v/>
      </c>
      <c r="K158" s="202">
        <f>IF(G158="","",IF(F158="User2",G158,IF(F158="User1",0,IF(I158="Да",G158*'⚙️ Настройки'!B16,G158*0.5))))</f>
        <v/>
      </c>
    </row>
    <row r="159" ht="15" customHeight="1" s="149">
      <c r="A159" s="209" t="n"/>
      <c r="B159" s="210" t="n"/>
      <c r="J159" s="202">
        <f>IF(G159="","",IF(F159="User1",G159,IF(F159="User2",0,IF(I159="Да",G159*'⚙️ Настройки'!B15,G159*0.5))))</f>
        <v/>
      </c>
      <c r="K159" s="202">
        <f>IF(G159="","",IF(F159="User2",G159,IF(F159="User1",0,IF(I159="Да",G159*'⚙️ Настройки'!B16,G159*0.5))))</f>
        <v/>
      </c>
    </row>
    <row r="160" ht="15" customHeight="1" s="149">
      <c r="A160" s="209" t="n"/>
      <c r="B160" s="210" t="n"/>
      <c r="J160" s="202">
        <f>IF(G160="","",IF(F160="User1",G160,IF(F160="User2",0,IF(I160="Да",G160*'⚙️ Настройки'!B15,G160*0.5))))</f>
        <v/>
      </c>
      <c r="K160" s="202">
        <f>IF(G160="","",IF(F160="User2",G160,IF(F160="User1",0,IF(I160="Да",G160*'⚙️ Настройки'!B16,G160*0.5))))</f>
        <v/>
      </c>
    </row>
    <row r="161" ht="15" customHeight="1" s="149">
      <c r="A161" s="209" t="n"/>
      <c r="B161" s="210" t="n"/>
      <c r="J161" s="202">
        <f>IF(G161="","",IF(F161="User1",G161,IF(F161="User2",0,IF(I161="Да",G161*'⚙️ Настройки'!B15,G161*0.5))))</f>
        <v/>
      </c>
      <c r="K161" s="202">
        <f>IF(G161="","",IF(F161="User2",G161,IF(F161="User1",0,IF(I161="Да",G161*'⚙️ Настройки'!B16,G161*0.5))))</f>
        <v/>
      </c>
    </row>
    <row r="162" ht="15" customHeight="1" s="149">
      <c r="A162" s="209" t="n"/>
      <c r="B162" s="210" t="n"/>
      <c r="J162" s="202">
        <f>IF(G162="","",IF(F162="User1",G162,IF(F162="User2",0,IF(I162="Да",G162*'⚙️ Настройки'!B15,G162*0.5))))</f>
        <v/>
      </c>
      <c r="K162" s="202">
        <f>IF(G162="","",IF(F162="User2",G162,IF(F162="User1",0,IF(I162="Да",G162*'⚙️ Настройки'!B16,G162*0.5))))</f>
        <v/>
      </c>
    </row>
    <row r="163" ht="15" customHeight="1" s="149">
      <c r="A163" s="209" t="n"/>
      <c r="B163" s="210">
        <f>IF(ISNUMBER(A163),YEAR(A163)&amp;"-"&amp;TEXT(MONTH(A163),"00"),"")</f>
        <v/>
      </c>
      <c r="J163" s="202">
        <f>IF(G163="","",IF(F163="User1",G163,IF(F163="User2",0,IF(I163="Да",G163*'⚙️ Настройки'!B15,G163*0.5))))</f>
        <v/>
      </c>
      <c r="K163" s="202">
        <f>IF(G163="","",IF(F163="User2",G163,IF(F163="User1",0,IF(I163="Да",G163*'⚙️ Настройки'!B16,G163*0.5))))</f>
        <v/>
      </c>
    </row>
    <row r="164" ht="15" customHeight="1" s="149">
      <c r="A164" s="209" t="n"/>
      <c r="B164" s="210">
        <f>IF(ISNUMBER(A164),YEAR(A164)&amp;"-"&amp;TEXT(MONTH(A164),"00"),"")</f>
        <v/>
      </c>
      <c r="J164" s="202">
        <f>IF(G164="","",IF(F164="User1",G164,IF(F164="User2",0,IF(I164="Да",G164*'⚙️ Настройки'!B15,G164*0.5))))</f>
        <v/>
      </c>
      <c r="K164" s="202">
        <f>IF(G164="","",IF(F164="User2",G164,IF(F164="User1",0,IF(I164="Да",G164*'⚙️ Настройки'!B16,G164*0.5))))</f>
        <v/>
      </c>
    </row>
    <row r="165" ht="15" customHeight="1" s="149">
      <c r="A165" s="209" t="n"/>
      <c r="B165" s="210">
        <f>IF(ISNUMBER(A165),YEAR(A165)&amp;"-"&amp;TEXT(MONTH(A165),"00"),"")</f>
        <v/>
      </c>
      <c r="J165" s="202">
        <f>IF(G165="","",IF(F165="User1",G165,IF(F165="User2",0,IF(I165="Да",G165*'⚙️ Настройки'!B15,G165*0.5))))</f>
        <v/>
      </c>
      <c r="K165" s="202">
        <f>IF(G165="","",IF(F165="User2",G165,IF(F165="User1",0,IF(I165="Да",G165*'⚙️ Настройки'!B16,G165*0.5))))</f>
        <v/>
      </c>
    </row>
    <row r="166" ht="15" customHeight="1" s="149">
      <c r="A166" s="209" t="n"/>
      <c r="B166" s="210">
        <f>IF(ISNUMBER(A166),YEAR(A166)&amp;"-"&amp;TEXT(MONTH(A166),"00"),"")</f>
        <v/>
      </c>
      <c r="J166" s="202">
        <f>IF(G166="","",IF(F166="User1",G166,IF(F166="User2",0,IF(I166="Да",G166*'⚙️ Настройки'!B15,G166*0.5))))</f>
        <v/>
      </c>
      <c r="K166" s="202">
        <f>IF(G166="","",IF(F166="User2",G166,IF(F166="User1",0,IF(I166="Да",G166*'⚙️ Настройки'!B16,G166*0.5))))</f>
        <v/>
      </c>
    </row>
    <row r="167" ht="15" customHeight="1" s="149">
      <c r="A167" s="209" t="n"/>
      <c r="B167" s="210">
        <f>IF(ISNUMBER(A167),YEAR(A167)&amp;"-"&amp;TEXT(MONTH(A167),"00"),"")</f>
        <v/>
      </c>
      <c r="J167" s="202">
        <f>IF(G167="","",IF(F167="User1",G167,IF(F167="User2",0,IF(I167="Да",G167*'⚙️ Настройки'!B15,G167*0.5))))</f>
        <v/>
      </c>
      <c r="K167" s="202">
        <f>IF(G167="","",IF(F167="User2",G167,IF(F167="User1",0,IF(I167="Да",G167*'⚙️ Настройки'!B16,G167*0.5))))</f>
        <v/>
      </c>
    </row>
    <row r="168" ht="15" customHeight="1" s="149">
      <c r="A168" s="209" t="n"/>
      <c r="B168" s="210">
        <f>IF(ISNUMBER(A168),YEAR(A168)&amp;"-"&amp;TEXT(MONTH(A168),"00"),"")</f>
        <v/>
      </c>
      <c r="J168" s="202">
        <f>IF(G168="","",IF(F168="User1",G168,IF(F168="User2",0,IF(I168="Да",G168*'⚙️ Настройки'!B15,G168*0.5))))</f>
        <v/>
      </c>
      <c r="K168" s="202">
        <f>IF(G168="","",IF(F168="User2",G168,IF(F168="User1",0,IF(I168="Да",G168*'⚙️ Настройки'!B16,G168*0.5))))</f>
        <v/>
      </c>
    </row>
    <row r="169" ht="15" customHeight="1" s="149">
      <c r="A169" s="209" t="n"/>
      <c r="B169" s="210">
        <f>IF(ISNUMBER(A169),YEAR(A169)&amp;"-"&amp;TEXT(MONTH(A169),"00"),"")</f>
        <v/>
      </c>
      <c r="J169" s="202">
        <f>IF(G169="","",IF(F169="User1",G169,IF(F169="User2",0,IF(I169="Да",G169*'⚙️ Настройки'!B15,G169*0.5))))</f>
        <v/>
      </c>
      <c r="K169" s="202">
        <f>IF(G169="","",IF(F169="User2",G169,IF(F169="User1",0,IF(I169="Да",G169*'⚙️ Настройки'!B16,G169*0.5))))</f>
        <v/>
      </c>
    </row>
    <row r="170" ht="15" customHeight="1" s="149">
      <c r="A170" s="209" t="n"/>
      <c r="B170" s="210">
        <f>IF(ISNUMBER(A170),YEAR(A170)&amp;"-"&amp;TEXT(MONTH(A170),"00"),"")</f>
        <v/>
      </c>
      <c r="J170" s="202">
        <f>IF(G170="","",IF(F170="User1",G170,IF(F170="User2",0,IF(I170="Да",G170*'⚙️ Настройки'!B15,G170*0.5))))</f>
        <v/>
      </c>
      <c r="K170" s="202">
        <f>IF(G170="","",IF(F170="User2",G170,IF(F170="User1",0,IF(I170="Да",G170*'⚙️ Настройки'!B16,G170*0.5))))</f>
        <v/>
      </c>
    </row>
    <row r="171" ht="15" customHeight="1" s="149">
      <c r="A171" s="209" t="n"/>
      <c r="B171" s="210">
        <f>IF(ISNUMBER(A171),YEAR(A171)&amp;"-"&amp;TEXT(MONTH(A171),"00"),"")</f>
        <v/>
      </c>
      <c r="J171" s="202">
        <f>IF(G171="","",IF(F171="User1",G171,IF(F171="User2",0,IF(I171="Да",G171*'⚙️ Настройки'!B15,G171*0.5))))</f>
        <v/>
      </c>
      <c r="K171" s="202">
        <f>IF(G171="","",IF(F171="User2",G171,IF(F171="User1",0,IF(I171="Да",G171*'⚙️ Настройки'!B16,G171*0.5))))</f>
        <v/>
      </c>
    </row>
    <row r="172" ht="15" customHeight="1" s="149">
      <c r="A172" s="209" t="n"/>
      <c r="B172" s="210">
        <f>IF(ISNUMBER(A172),YEAR(A172)&amp;"-"&amp;TEXT(MONTH(A172),"00"),"")</f>
        <v/>
      </c>
      <c r="J172" s="202">
        <f>IF(G172="","",IF(F172="User1",G172,IF(F172="User2",0,IF(I172="Да",G172*'⚙️ Настройки'!B15,G172*0.5))))</f>
        <v/>
      </c>
      <c r="K172" s="202">
        <f>IF(G172="","",IF(F172="User2",G172,IF(F172="User1",0,IF(I172="Да",G172*'⚙️ Настройки'!B16,G172*0.5))))</f>
        <v/>
      </c>
    </row>
    <row r="173" ht="15" customHeight="1" s="149">
      <c r="A173" s="209" t="n"/>
      <c r="B173" s="210">
        <f>IF(ISNUMBER(A173),YEAR(A173)&amp;"-"&amp;TEXT(MONTH(A173),"00"),"")</f>
        <v/>
      </c>
      <c r="J173" s="202">
        <f>IF(G173="","",IF(F173="User1",G173,IF(F173="User2",0,IF(I173="Да",G173*'⚙️ Настройки'!B15,G173*0.5))))</f>
        <v/>
      </c>
      <c r="K173" s="202">
        <f>IF(G173="","",IF(F173="User2",G173,IF(F173="User1",0,IF(I173="Да",G173*'⚙️ Настройки'!B16,G173*0.5))))</f>
        <v/>
      </c>
    </row>
    <row r="174" ht="15" customHeight="1" s="149">
      <c r="A174" s="209" t="n"/>
      <c r="B174" s="210">
        <f>IF(ISNUMBER(A174),YEAR(A174)&amp;"-"&amp;TEXT(MONTH(A174),"00"),"")</f>
        <v/>
      </c>
      <c r="J174" s="202">
        <f>IF(G174="","",IF(F174="User1",G174,IF(F174="User2",0,IF(I174="Да",G174*'⚙️ Настройки'!B15,G174*0.5))))</f>
        <v/>
      </c>
      <c r="K174" s="202">
        <f>IF(G174="","",IF(F174="User2",G174,IF(F174="User1",0,IF(I174="Да",G174*'⚙️ Настройки'!B16,G174*0.5))))</f>
        <v/>
      </c>
    </row>
    <row r="175" ht="15" customHeight="1" s="149">
      <c r="A175" s="209" t="n"/>
      <c r="B175" s="210">
        <f>IF(ISNUMBER(A175),YEAR(A175)&amp;"-"&amp;TEXT(MONTH(A175),"00"),"")</f>
        <v/>
      </c>
      <c r="J175" s="202">
        <f>IF(G175="","",IF(F175="User1",G175,IF(F175="User2",0,IF(I175="Да",G175*'⚙️ Настройки'!B15,G175*0.5))))</f>
        <v/>
      </c>
      <c r="K175" s="202">
        <f>IF(G175="","",IF(F175="User2",G175,IF(F175="User1",0,IF(I175="Да",G175*'⚙️ Настройки'!B16,G175*0.5))))</f>
        <v/>
      </c>
    </row>
    <row r="176" ht="15" customHeight="1" s="149">
      <c r="A176" s="209" t="n"/>
      <c r="B176" s="210">
        <f>IF(ISNUMBER(A176),YEAR(A176)&amp;"-"&amp;TEXT(MONTH(A176),"00"),"")</f>
        <v/>
      </c>
      <c r="J176" s="202">
        <f>IF(G176="","",IF(F176="User1",G176,IF(F176="User2",0,IF(I176="Да",G176*'⚙️ Настройки'!B15,G176*0.5))))</f>
        <v/>
      </c>
      <c r="K176" s="202">
        <f>IF(G176="","",IF(F176="User2",G176,IF(F176="User1",0,IF(I176="Да",G176*'⚙️ Настройки'!B16,G176*0.5))))</f>
        <v/>
      </c>
    </row>
    <row r="177" ht="15" customHeight="1" s="149">
      <c r="A177" s="209" t="n"/>
      <c r="B177" s="210">
        <f>IF(ISNUMBER(A177),YEAR(A177)&amp;"-"&amp;TEXT(MONTH(A177),"00"),"")</f>
        <v/>
      </c>
      <c r="J177" s="202">
        <f>IF(G177="","",IF(F177="User1",G177,IF(F177="User2",0,IF(I177="Да",G177*'⚙️ Настройки'!B15,G177*0.5))))</f>
        <v/>
      </c>
      <c r="K177" s="202">
        <f>IF(G177="","",IF(F177="User2",G177,IF(F177="User1",0,IF(I177="Да",G177*'⚙️ Настройки'!B16,G177*0.5))))</f>
        <v/>
      </c>
    </row>
    <row r="178" ht="15" customHeight="1" s="149">
      <c r="A178" s="209" t="n"/>
      <c r="B178" s="210">
        <f>IF(ISNUMBER(A178),YEAR(A178)&amp;"-"&amp;TEXT(MONTH(A178),"00"),"")</f>
        <v/>
      </c>
      <c r="J178" s="202">
        <f>IF(G178="","",IF(F178="User1",G178,IF(F178="User2",0,IF(I178="Да",G178*'⚙️ Настройки'!B15,G178*0.5))))</f>
        <v/>
      </c>
      <c r="K178" s="202">
        <f>IF(G178="","",IF(F178="User2",G178,IF(F178="User1",0,IF(I178="Да",G178*'⚙️ Настройки'!B16,G178*0.5))))</f>
        <v/>
      </c>
    </row>
    <row r="179" ht="15" customHeight="1" s="149">
      <c r="A179" s="209" t="n"/>
      <c r="B179" s="210">
        <f>IF(ISNUMBER(A179),YEAR(A179)&amp;"-"&amp;TEXT(MONTH(A179),"00"),"")</f>
        <v/>
      </c>
      <c r="J179" s="202">
        <f>IF(G179="","",IF(F179="User1",G179,IF(F179="User2",0,IF(I179="Да",G179*'⚙️ Настройки'!B15,G179*0.5))))</f>
        <v/>
      </c>
      <c r="K179" s="202">
        <f>IF(G179="","",IF(F179="User2",G179,IF(F179="User1",0,IF(I179="Да",G179*'⚙️ Настройки'!B16,G179*0.5))))</f>
        <v/>
      </c>
    </row>
    <row r="180" ht="15" customHeight="1" s="149">
      <c r="A180" s="209" t="n"/>
      <c r="B180" s="210">
        <f>IF(ISNUMBER(A180),YEAR(A180)&amp;"-"&amp;TEXT(MONTH(A180),"00"),"")</f>
        <v/>
      </c>
      <c r="J180" s="202">
        <f>IF(G180="","",IF(F180="User1",G180,IF(F180="User2",0,IF(I180="Да",G180*'⚙️ Настройки'!B15,G180*0.5))))</f>
        <v/>
      </c>
      <c r="K180" s="202">
        <f>IF(G180="","",IF(F180="User2",G180,IF(F180="User1",0,IF(I180="Да",G180*'⚙️ Настройки'!B16,G180*0.5))))</f>
        <v/>
      </c>
    </row>
    <row r="181" ht="15" customHeight="1" s="149">
      <c r="A181" s="209" t="n"/>
      <c r="B181" s="210">
        <f>IF(ISNUMBER(A181),YEAR(A181)&amp;"-"&amp;TEXT(MONTH(A181),"00"),"")</f>
        <v/>
      </c>
      <c r="J181" s="202">
        <f>IF(G181="","",IF(F181="User1",G181,IF(F181="User2",0,IF(I181="Да",G181*'⚙️ Настройки'!B15,G181*0.5))))</f>
        <v/>
      </c>
      <c r="K181" s="202">
        <f>IF(G181="","",IF(F181="User2",G181,IF(F181="User1",0,IF(I181="Да",G181*'⚙️ Настройки'!B16,G181*0.5))))</f>
        <v/>
      </c>
    </row>
    <row r="182" ht="15" customHeight="1" s="149">
      <c r="A182" s="209" t="n"/>
      <c r="B182" s="210">
        <f>IF(ISNUMBER(A182),YEAR(A182)&amp;"-"&amp;TEXT(MONTH(A182),"00"),"")</f>
        <v/>
      </c>
      <c r="J182" s="202">
        <f>IF(G182="","",IF(F182="User1",G182,IF(F182="User2",0,IF(I182="Да",G182*'⚙️ Настройки'!B15,G182*0.5))))</f>
        <v/>
      </c>
      <c r="K182" s="202">
        <f>IF(G182="","",IF(F182="User2",G182,IF(F182="User1",0,IF(I182="Да",G182*'⚙️ Настройки'!B16,G182*0.5))))</f>
        <v/>
      </c>
    </row>
    <row r="183" ht="15" customHeight="1" s="149">
      <c r="A183" s="209" t="n"/>
      <c r="B183" s="210">
        <f>IF(ISNUMBER(A183),YEAR(A183)&amp;"-"&amp;TEXT(MONTH(A183),"00"),"")</f>
        <v/>
      </c>
      <c r="J183" s="202">
        <f>IF(G183="","",IF(F183="User1",G183,IF(F183="User2",0,IF(I183="Да",G183*'⚙️ Настройки'!B15,G183*0.5))))</f>
        <v/>
      </c>
      <c r="K183" s="202">
        <f>IF(G183="","",IF(F183="User2",G183,IF(F183="User1",0,IF(I183="Да",G183*'⚙️ Настройки'!B16,G183*0.5))))</f>
        <v/>
      </c>
    </row>
    <row r="184" ht="15" customHeight="1" s="149">
      <c r="A184" s="209" t="n"/>
      <c r="B184" s="210">
        <f>IF(ISNUMBER(A184),YEAR(A184)&amp;"-"&amp;TEXT(MONTH(A184),"00"),"")</f>
        <v/>
      </c>
      <c r="J184" s="202">
        <f>IF(G184="","",IF(F184="User1",G184,IF(F184="User2",0,IF(I184="Да",G184*'⚙️ Настройки'!B15,G184*0.5))))</f>
        <v/>
      </c>
      <c r="K184" s="202">
        <f>IF(G184="","",IF(F184="User2",G184,IF(F184="User1",0,IF(I184="Да",G184*'⚙️ Настройки'!B16,G184*0.5))))</f>
        <v/>
      </c>
    </row>
    <row r="185" ht="15" customHeight="1" s="149">
      <c r="A185" s="209" t="n"/>
      <c r="B185" s="210">
        <f>IF(ISNUMBER(A185),YEAR(A185)&amp;"-"&amp;TEXT(MONTH(A185),"00"),"")</f>
        <v/>
      </c>
      <c r="J185" s="202">
        <f>IF(G185="","",IF(F185="User1",G185,IF(F185="User2",0,IF(I185="Да",G185*'⚙️ Настройки'!B15,G185*0.5))))</f>
        <v/>
      </c>
      <c r="K185" s="202">
        <f>IF(G185="","",IF(F185="User2",G185,IF(F185="User1",0,IF(I185="Да",G185*'⚙️ Настройки'!B16,G185*0.5))))</f>
        <v/>
      </c>
    </row>
    <row r="186" ht="15" customHeight="1" s="149">
      <c r="A186" s="209" t="n"/>
      <c r="B186" s="210">
        <f>IF(ISNUMBER(A186),YEAR(A186)&amp;"-"&amp;TEXT(MONTH(A186),"00"),"")</f>
        <v/>
      </c>
      <c r="J186" s="202">
        <f>IF(G186="","",IF(F186="User1",G186,IF(F186="User2",0,IF(I186="Да",G186*'⚙️ Настройки'!B15,G186*0.5))))</f>
        <v/>
      </c>
      <c r="K186" s="202">
        <f>IF(G186="","",IF(F186="User2",G186,IF(F186="User1",0,IF(I186="Да",G186*'⚙️ Настройки'!B16,G186*0.5))))</f>
        <v/>
      </c>
    </row>
    <row r="187" ht="15" customHeight="1" s="149">
      <c r="A187" s="209" t="n"/>
      <c r="B187" s="210">
        <f>IF(ISNUMBER(A187),YEAR(A187)&amp;"-"&amp;TEXT(MONTH(A187),"00"),"")</f>
        <v/>
      </c>
      <c r="J187" s="202">
        <f>IF(G187="","",IF(F187="User1",G187,IF(F187="User2",0,IF(I187="Да",G187*'⚙️ Настройки'!B15,G187*0.5))))</f>
        <v/>
      </c>
      <c r="K187" s="202">
        <f>IF(G187="","",IF(F187="User2",G187,IF(F187="User1",0,IF(I187="Да",G187*'⚙️ Настройки'!B16,G187*0.5))))</f>
        <v/>
      </c>
    </row>
    <row r="188" ht="15" customHeight="1" s="149">
      <c r="A188" s="209" t="n"/>
      <c r="B188" s="210">
        <f>IF(ISNUMBER(A188),YEAR(A188)&amp;"-"&amp;TEXT(MONTH(A188),"00"),"")</f>
        <v/>
      </c>
      <c r="J188" s="202">
        <f>IF(G188="","",IF(F188="User1",G188,IF(F188="User2",0,IF(I188="Да",G188*'⚙️ Настройки'!B15,G188*0.5))))</f>
        <v/>
      </c>
      <c r="K188" s="202">
        <f>IF(G188="","",IF(F188="User2",G188,IF(F188="User1",0,IF(I188="Да",G188*'⚙️ Настройки'!B16,G188*0.5))))</f>
        <v/>
      </c>
    </row>
    <row r="189" ht="15" customHeight="1" s="149">
      <c r="A189" s="209" t="n"/>
      <c r="B189" s="210">
        <f>IF(ISNUMBER(A189),YEAR(A189)&amp;"-"&amp;TEXT(MONTH(A189),"00"),"")</f>
        <v/>
      </c>
      <c r="J189" s="202">
        <f>IF(G189="","",IF(F189="User1",G189,IF(F189="User2",0,IF(I189="Да",G189*'⚙️ Настройки'!B15,G189*0.5))))</f>
        <v/>
      </c>
      <c r="K189" s="202">
        <f>IF(G189="","",IF(F189="User2",G189,IF(F189="User1",0,IF(I189="Да",G189*'⚙️ Настройки'!B16,G189*0.5))))</f>
        <v/>
      </c>
    </row>
    <row r="190" ht="15" customHeight="1" s="149">
      <c r="A190" s="209" t="n"/>
      <c r="B190" s="210">
        <f>IF(ISNUMBER(A190),YEAR(A190)&amp;"-"&amp;TEXT(MONTH(A190),"00"),"")</f>
        <v/>
      </c>
      <c r="J190" s="202">
        <f>IF(G190="","",IF(F190="User1",G190,IF(F190="User2",0,IF(I190="Да",G190*'⚙️ Настройки'!B15,G190*0.5))))</f>
        <v/>
      </c>
      <c r="K190" s="202">
        <f>IF(G190="","",IF(F190="User2",G190,IF(F190="User1",0,IF(I190="Да",G190*'⚙️ Настройки'!B16,G190*0.5))))</f>
        <v/>
      </c>
    </row>
    <row r="191" ht="15" customHeight="1" s="149">
      <c r="A191" s="209" t="n"/>
      <c r="B191" s="210">
        <f>IF(ISNUMBER(A191),YEAR(A191)&amp;"-"&amp;TEXT(MONTH(A191),"00"),"")</f>
        <v/>
      </c>
      <c r="J191" s="202">
        <f>IF(G191="","",IF(F191="User1",G191,IF(F191="User2",0,IF(I191="Да",G191*'⚙️ Настройки'!B15,G191*0.5))))</f>
        <v/>
      </c>
      <c r="K191" s="202">
        <f>IF(G191="","",IF(F191="User2",G191,IF(F191="User1",0,IF(I191="Да",G191*'⚙️ Настройки'!B16,G191*0.5))))</f>
        <v/>
      </c>
    </row>
    <row r="192" ht="15" customHeight="1" s="149">
      <c r="A192" s="209" t="n"/>
      <c r="B192" s="210">
        <f>IF(ISNUMBER(A192),YEAR(A192)&amp;"-"&amp;TEXT(MONTH(A192),"00"),"")</f>
        <v/>
      </c>
      <c r="J192" s="202">
        <f>IF(G192="","",IF(F192="User1",G192,IF(F192="User2",0,IF(I192="Да",G192*'⚙️ Настройки'!B15,G192*0.5))))</f>
        <v/>
      </c>
      <c r="K192" s="202">
        <f>IF(G192="","",IF(F192="User2",G192,IF(F192="User1",0,IF(I192="Да",G192*'⚙️ Настройки'!B16,G192*0.5))))</f>
        <v/>
      </c>
    </row>
    <row r="193" ht="15" customHeight="1" s="149">
      <c r="A193" s="209" t="n"/>
      <c r="B193" s="210">
        <f>IF(ISNUMBER(A193),YEAR(A193)&amp;"-"&amp;TEXT(MONTH(A193),"00"),"")</f>
        <v/>
      </c>
      <c r="J193" s="202">
        <f>IF(G193="","",IF(F193="User1",G193,IF(F193="User2",0,IF(I193="Да",G193*'⚙️ Настройки'!B15,G193*0.5))))</f>
        <v/>
      </c>
      <c r="K193" s="202">
        <f>IF(G193="","",IF(F193="User2",G193,IF(F193="User1",0,IF(I193="Да",G193*'⚙️ Настройки'!B16,G193*0.5))))</f>
        <v/>
      </c>
    </row>
    <row r="194" ht="15" customHeight="1" s="149">
      <c r="A194" s="209" t="n"/>
      <c r="B194" s="210">
        <f>IF(ISNUMBER(A194),YEAR(A194)&amp;"-"&amp;TEXT(MONTH(A194),"00"),"")</f>
        <v/>
      </c>
      <c r="J194" s="202">
        <f>IF(G194="","",IF(F194="User1",G194,IF(F194="User2",0,IF(I194="Да",G194*'⚙️ Настройки'!B15,G194*0.5))))</f>
        <v/>
      </c>
      <c r="K194" s="202">
        <f>IF(G194="","",IF(F194="User2",G194,IF(F194="User1",0,IF(I194="Да",G194*'⚙️ Настройки'!B16,G194*0.5))))</f>
        <v/>
      </c>
    </row>
    <row r="195" ht="15" customHeight="1" s="149">
      <c r="A195" s="209" t="n"/>
      <c r="B195" s="210">
        <f>IF(ISNUMBER(A195),YEAR(A195)&amp;"-"&amp;TEXT(MONTH(A195),"00"),"")</f>
        <v/>
      </c>
      <c r="J195" s="202">
        <f>IF(G195="","",IF(F195="User1",G195,IF(F195="User2",0,IF(I195="Да",G195*'⚙️ Настройки'!B15,G195*0.5))))</f>
        <v/>
      </c>
      <c r="K195" s="202">
        <f>IF(G195="","",IF(F195="User2",G195,IF(F195="User1",0,IF(I195="Да",G195*'⚙️ Настройки'!B16,G195*0.5))))</f>
        <v/>
      </c>
    </row>
    <row r="196" ht="15" customHeight="1" s="149">
      <c r="A196" s="209" t="n"/>
      <c r="B196" s="210">
        <f>IF(ISNUMBER(A196),YEAR(A196)&amp;"-"&amp;TEXT(MONTH(A196),"00"),"")</f>
        <v/>
      </c>
      <c r="J196" s="202">
        <f>IF(G196="","",IF(F196="User1",G196,IF(F196="User2",0,IF(I196="Да",G196*'⚙️ Настройки'!B15,G196*0.5))))</f>
        <v/>
      </c>
      <c r="K196" s="202">
        <f>IF(G196="","",IF(F196="User2",G196,IF(F196="User1",0,IF(I196="Да",G196*'⚙️ Настройки'!B16,G196*0.5))))</f>
        <v/>
      </c>
    </row>
    <row r="197" ht="15" customHeight="1" s="149">
      <c r="A197" s="209" t="n"/>
      <c r="B197" s="210">
        <f>IF(ISNUMBER(A197),YEAR(A197)&amp;"-"&amp;TEXT(MONTH(A197),"00"),"")</f>
        <v/>
      </c>
      <c r="J197" s="202">
        <f>IF(G197="","",IF(F197="User1",G197,IF(F197="User2",0,IF(I197="Да",G197*'⚙️ Настройки'!B15,G197*0.5))))</f>
        <v/>
      </c>
      <c r="K197" s="202">
        <f>IF(G197="","",IF(F197="User2",G197,IF(F197="User1",0,IF(I197="Да",G197*'⚙️ Настройки'!B16,G197*0.5))))</f>
        <v/>
      </c>
    </row>
    <row r="198" ht="15" customHeight="1" s="149">
      <c r="A198" s="209" t="n"/>
      <c r="B198" s="210">
        <f>IF(ISNUMBER(A198),YEAR(A198)&amp;"-"&amp;TEXT(MONTH(A198),"00"),"")</f>
        <v/>
      </c>
      <c r="J198" s="202">
        <f>IF(G198="","",IF(F198="User1",G198,IF(F198="User2",0,IF(I198="Да",G198*'⚙️ Настройки'!B15,G198*0.5))))</f>
        <v/>
      </c>
      <c r="K198" s="202">
        <f>IF(G198="","",IF(F198="User2",G198,IF(F198="User1",0,IF(I198="Да",G198*'⚙️ Настройки'!B16,G198*0.5))))</f>
        <v/>
      </c>
    </row>
    <row r="199" ht="15" customHeight="1" s="149">
      <c r="A199" s="209" t="n"/>
      <c r="B199" s="210">
        <f>IF(ISNUMBER(A199),YEAR(A199)&amp;"-"&amp;TEXT(MONTH(A199),"00"),"")</f>
        <v/>
      </c>
      <c r="J199" s="202">
        <f>IF(G199="","",IF(F199="User1",G199,IF(F199="User2",0,IF(I199="Да",G199*'⚙️ Настройки'!B15,G199*0.5))))</f>
        <v/>
      </c>
      <c r="K199" s="202">
        <f>IF(G199="","",IF(F199="User2",G199,IF(F199="User1",0,IF(I199="Да",G199*'⚙️ Настройки'!B16,G199*0.5))))</f>
        <v/>
      </c>
    </row>
    <row r="200" ht="15" customHeight="1" s="149">
      <c r="A200" s="209" t="n"/>
      <c r="B200" s="210">
        <f>IF(ISNUMBER(A200),YEAR(A200)&amp;"-"&amp;TEXT(MONTH(A200),"00"),"")</f>
        <v/>
      </c>
      <c r="J200" s="202">
        <f>IF(G200="","",IF(F200="User1",G200,IF(F200="User2",0,IF(I200="Да",G200*'⚙️ Настройки'!B15,G200*0.5))))</f>
        <v/>
      </c>
      <c r="K200" s="202">
        <f>IF(G200="","",IF(F200="User2",G200,IF(F200="User1",0,IF(I200="Да",G200*'⚙️ Настройки'!B16,G200*0.5))))</f>
        <v/>
      </c>
    </row>
    <row r="201" ht="15" customHeight="1" s="149">
      <c r="A201" s="209" t="n"/>
      <c r="B201" s="210">
        <f>IF(ISNUMBER(A201),YEAR(A201)&amp;"-"&amp;TEXT(MONTH(A201),"00"),"")</f>
        <v/>
      </c>
      <c r="J201" s="202">
        <f>IF(G201="","",IF(F201="User1",G201,IF(F201="User2",0,IF(I201="Да",G201*'⚙️ Настройки'!B15,G201*0.5))))</f>
        <v/>
      </c>
      <c r="K201" s="202">
        <f>IF(G201="","",IF(F201="User2",G201,IF(F201="User1",0,IF(I201="Да",G201*'⚙️ Настройки'!B16,G201*0.5))))</f>
        <v/>
      </c>
    </row>
    <row r="202" ht="15" customHeight="1" s="149">
      <c r="A202" s="209" t="n"/>
      <c r="B202" s="210">
        <f>IF(ISNUMBER(A202),YEAR(A202)&amp;"-"&amp;TEXT(MONTH(A202),"00"),"")</f>
        <v/>
      </c>
      <c r="J202" s="202">
        <f>IF(G202="","",IF(F202="User1",G202,IF(F202="User2",0,IF(I202="Да",G202*'⚙️ Настройки'!B15,G202*0.5))))</f>
        <v/>
      </c>
      <c r="K202" s="202">
        <f>IF(G202="","",IF(F202="User2",G202,IF(F202="User1",0,IF(I202="Да",G202*'⚙️ Настройки'!B16,G202*0.5))))</f>
        <v/>
      </c>
    </row>
    <row r="203" ht="15" customHeight="1" s="149">
      <c r="A203" s="209" t="n"/>
      <c r="B203" s="210">
        <f>IF(ISNUMBER(A203),YEAR(A203)&amp;"-"&amp;TEXT(MONTH(A203),"00"),"")</f>
        <v/>
      </c>
      <c r="J203" s="202">
        <f>IF(G203="","",IF(F203="User1",G203,IF(F203="User2",0,IF(I203="Да",G203*'⚙️ Настройки'!B15,G203*0.5))))</f>
        <v/>
      </c>
      <c r="K203" s="202">
        <f>IF(G203="","",IF(F203="User2",G203,IF(F203="User1",0,IF(I203="Да",G203*'⚙️ Настройки'!B16,G203*0.5))))</f>
        <v/>
      </c>
    </row>
    <row r="204" ht="15" customHeight="1" s="149">
      <c r="A204" s="209" t="n"/>
      <c r="B204" s="210">
        <f>IF(ISNUMBER(A204),YEAR(A204)&amp;"-"&amp;TEXT(MONTH(A204),"00"),"")</f>
        <v/>
      </c>
      <c r="J204" s="202">
        <f>IF(G204="","",IF(F204="User1",G204,IF(F204="User2",0,IF(I204="Да",G204*'⚙️ Настройки'!B15,G204*0.5))))</f>
        <v/>
      </c>
      <c r="K204" s="202">
        <f>IF(G204="","",IF(F204="User2",G204,IF(F204="User1",0,IF(I204="Да",G204*'⚙️ Настройки'!B16,G204*0.5))))</f>
        <v/>
      </c>
    </row>
    <row r="205" ht="15" customHeight="1" s="149">
      <c r="A205" s="209" t="n"/>
      <c r="B205" s="210">
        <f>IF(ISNUMBER(A205),YEAR(A205)&amp;"-"&amp;TEXT(MONTH(A205),"00"),"")</f>
        <v/>
      </c>
      <c r="J205" s="202">
        <f>IF(G205="","",IF(F205="User1",G205,IF(F205="User2",0,IF(I205="Да",G205*'⚙️ Настройки'!B15,G205*0.5))))</f>
        <v/>
      </c>
      <c r="K205" s="202">
        <f>IF(G205="","",IF(F205="User2",G205,IF(F205="User1",0,IF(I205="Да",G205*'⚙️ Настройки'!B16,G205*0.5))))</f>
        <v/>
      </c>
    </row>
    <row r="206" ht="15" customHeight="1" s="149">
      <c r="A206" s="209" t="n"/>
      <c r="B206" s="210">
        <f>IF(ISNUMBER(A206),YEAR(A206)&amp;"-"&amp;TEXT(MONTH(A206),"00"),"")</f>
        <v/>
      </c>
      <c r="J206" s="202">
        <f>IF(G206="","",IF(F206="User1",G206,IF(F206="User2",0,IF(I206="Да",G206*'⚙️ Настройки'!B15,G206*0.5))))</f>
        <v/>
      </c>
      <c r="K206" s="202">
        <f>IF(G206="","",IF(F206="User2",G206,IF(F206="User1",0,IF(I206="Да",G206*'⚙️ Настройки'!B16,G206*0.5))))</f>
        <v/>
      </c>
    </row>
    <row r="207" ht="15" customHeight="1" s="149">
      <c r="A207" s="209" t="n"/>
      <c r="B207" s="210">
        <f>IF(ISNUMBER(A207),YEAR(A207)&amp;"-"&amp;TEXT(MONTH(A207),"00"),"")</f>
        <v/>
      </c>
      <c r="J207" s="202">
        <f>IF(G207="","",IF(F207="User1",G207,IF(F207="User2",0,IF(I207="Да",G207*'⚙️ Настройки'!B15,G207*0.5))))</f>
        <v/>
      </c>
      <c r="K207" s="202">
        <f>IF(G207="","",IF(F207="User2",G207,IF(F207="User1",0,IF(I207="Да",G207*'⚙️ Настройки'!B16,G207*0.5))))</f>
        <v/>
      </c>
    </row>
    <row r="208" ht="15" customHeight="1" s="149">
      <c r="A208" s="209" t="n"/>
      <c r="B208" s="210">
        <f>IF(ISNUMBER(A208),YEAR(A208)&amp;"-"&amp;TEXT(MONTH(A208),"00"),"")</f>
        <v/>
      </c>
      <c r="J208" s="202">
        <f>IF(G208="","",IF(F208="User1",G208,IF(F208="User2",0,IF(I208="Да",G208*'⚙️ Настройки'!B15,G208*0.5))))</f>
        <v/>
      </c>
      <c r="K208" s="202">
        <f>IF(G208="","",IF(F208="User2",G208,IF(F208="User1",0,IF(I208="Да",G208*'⚙️ Настройки'!B16,G208*0.5))))</f>
        <v/>
      </c>
    </row>
    <row r="209" ht="15" customHeight="1" s="149">
      <c r="A209" s="209" t="n"/>
      <c r="B209" s="210">
        <f>IF(ISNUMBER(A209),YEAR(A209)&amp;"-"&amp;TEXT(MONTH(A209),"00"),"")</f>
        <v/>
      </c>
      <c r="J209" s="202">
        <f>IF(G209="","",IF(F209="User1",G209,IF(F209="User2",0,IF(I209="Да",G209*'⚙️ Настройки'!B15,G209*0.5))))</f>
        <v/>
      </c>
      <c r="K209" s="202">
        <f>IF(G209="","",IF(F209="User2",G209,IF(F209="User1",0,IF(I209="Да",G209*'⚙️ Настройки'!B16,G209*0.5))))</f>
        <v/>
      </c>
    </row>
    <row r="210" ht="15" customHeight="1" s="149">
      <c r="A210" s="209" t="n"/>
      <c r="B210" s="210">
        <f>IF(ISNUMBER(A210),YEAR(A210)&amp;"-"&amp;TEXT(MONTH(A210),"00"),"")</f>
        <v/>
      </c>
      <c r="J210" s="202">
        <f>IF(G210="","",IF(F210="User1",G210,IF(F210="User2",0,IF(I210="Да",G210*'⚙️ Настройки'!B15,G210*0.5))))</f>
        <v/>
      </c>
      <c r="K210" s="202">
        <f>IF(G210="","",IF(F210="User2",G210,IF(F210="User1",0,IF(I210="Да",G210*'⚙️ Настройки'!B16,G210*0.5))))</f>
        <v/>
      </c>
    </row>
    <row r="211" ht="15" customHeight="1" s="149">
      <c r="A211" s="209" t="n"/>
      <c r="B211" s="210">
        <f>IF(ISNUMBER(A211),YEAR(A211)&amp;"-"&amp;TEXT(MONTH(A211),"00"),"")</f>
        <v/>
      </c>
      <c r="J211" s="202">
        <f>IF(G211="","",IF(F211="User1",G211,IF(F211="User2",0,IF(I211="Да",G211*'⚙️ Настройки'!B15,G211*0.5))))</f>
        <v/>
      </c>
      <c r="K211" s="202">
        <f>IF(G211="","",IF(F211="User2",G211,IF(F211="User1",0,IF(I211="Да",G211*'⚙️ Настройки'!B16,G211*0.5))))</f>
        <v/>
      </c>
    </row>
    <row r="212" ht="15" customHeight="1" s="149">
      <c r="A212" s="209" t="n"/>
      <c r="B212" s="210">
        <f>IF(ISNUMBER(A212),YEAR(A212)&amp;"-"&amp;TEXT(MONTH(A212),"00"),"")</f>
        <v/>
      </c>
      <c r="J212" s="202">
        <f>IF(G212="","",IF(F212="User1",G212,IF(F212="User2",0,IF(I212="Да",G212*'⚙️ Настройки'!B15,G212*0.5))))</f>
        <v/>
      </c>
      <c r="K212" s="202">
        <f>IF(G212="","",IF(F212="User2",G212,IF(F212="User1",0,IF(I212="Да",G212*'⚙️ Настройки'!B16,G212*0.5))))</f>
        <v/>
      </c>
    </row>
    <row r="213" ht="15" customHeight="1" s="149">
      <c r="A213" s="209" t="n"/>
      <c r="B213" s="210">
        <f>IF(ISNUMBER(A213),YEAR(A213)&amp;"-"&amp;TEXT(MONTH(A213),"00"),"")</f>
        <v/>
      </c>
      <c r="J213" s="202">
        <f>IF(G213="","",IF(F213="User1",G213,IF(F213="User2",0,IF(I213="Да",G213*'⚙️ Настройки'!B15,G213*0.5))))</f>
        <v/>
      </c>
      <c r="K213" s="202">
        <f>IF(G213="","",IF(F213="User2",G213,IF(F213="User1",0,IF(I213="Да",G213*'⚙️ Настройки'!B16,G213*0.5))))</f>
        <v/>
      </c>
    </row>
    <row r="214" ht="15" customHeight="1" s="149">
      <c r="A214" s="209" t="n"/>
      <c r="B214" s="210">
        <f>IF(ISNUMBER(A214),YEAR(A214)&amp;"-"&amp;TEXT(MONTH(A214),"00"),"")</f>
        <v/>
      </c>
      <c r="J214" s="202">
        <f>IF(G214="","",IF(F214="User1",G214,IF(F214="User2",0,IF(I214="Да",G214*'⚙️ Настройки'!B15,G214*0.5))))</f>
        <v/>
      </c>
      <c r="K214" s="202">
        <f>IF(G214="","",IF(F214="User2",G214,IF(F214="User1",0,IF(I214="Да",G214*'⚙️ Настройки'!B16,G214*0.5))))</f>
        <v/>
      </c>
    </row>
    <row r="215" ht="15" customHeight="1" s="149">
      <c r="A215" s="209" t="n"/>
      <c r="B215" s="210">
        <f>IF(ISNUMBER(A215),YEAR(A215)&amp;"-"&amp;TEXT(MONTH(A215),"00"),"")</f>
        <v/>
      </c>
      <c r="J215" s="202">
        <f>IF(G215="","",IF(F215="User1",G215,IF(F215="User2",0,IF(I215="Да",G215*'⚙️ Настройки'!B15,G215*0.5))))</f>
        <v/>
      </c>
      <c r="K215" s="202">
        <f>IF(G215="","",IF(F215="User2",G215,IF(F215="User1",0,IF(I215="Да",G215*'⚙️ Настройки'!B16,G215*0.5))))</f>
        <v/>
      </c>
    </row>
    <row r="216" ht="15" customHeight="1" s="149">
      <c r="A216" s="209" t="n"/>
      <c r="B216" s="210">
        <f>IF(ISNUMBER(A216),YEAR(A216)&amp;"-"&amp;TEXT(MONTH(A216),"00"),"")</f>
        <v/>
      </c>
      <c r="J216" s="202">
        <f>IF(G216="","",IF(F216="User1",G216,IF(F216="User2",0,IF(I216="Да",G216*'⚙️ Настройки'!B15,G216*0.5))))</f>
        <v/>
      </c>
      <c r="K216" s="202">
        <f>IF(G216="","",IF(F216="User2",G216,IF(F216="User1",0,IF(I216="Да",G216*'⚙️ Настройки'!B16,G216*0.5))))</f>
        <v/>
      </c>
    </row>
    <row r="217" ht="15" customHeight="1" s="149">
      <c r="A217" s="209" t="n"/>
      <c r="B217" s="210">
        <f>IF(ISNUMBER(A217),YEAR(A217)&amp;"-"&amp;TEXT(MONTH(A217),"00"),"")</f>
        <v/>
      </c>
      <c r="J217" s="202">
        <f>IF(G217="","",IF(F217="User1",G217,IF(F217="User2",0,IF(I217="Да",G217*'⚙️ Настройки'!B15,G217*0.5))))</f>
        <v/>
      </c>
      <c r="K217" s="202">
        <f>IF(G217="","",IF(F217="User2",G217,IF(F217="User1",0,IF(I217="Да",G217*'⚙️ Настройки'!B16,G217*0.5))))</f>
        <v/>
      </c>
    </row>
    <row r="218" ht="15" customHeight="1" s="149">
      <c r="A218" s="209" t="n"/>
      <c r="B218" s="210">
        <f>IF(ISNUMBER(A218),YEAR(A218)&amp;"-"&amp;TEXT(MONTH(A218),"00"),"")</f>
        <v/>
      </c>
      <c r="J218" s="202">
        <f>IF(G218="","",IF(F218="User1",G218,IF(F218="User2",0,IF(I218="Да",G218*'⚙️ Настройки'!B15,G218*0.5))))</f>
        <v/>
      </c>
      <c r="K218" s="202">
        <f>IF(G218="","",IF(F218="User2",G218,IF(F218="User1",0,IF(I218="Да",G218*'⚙️ Настройки'!B16,G218*0.5))))</f>
        <v/>
      </c>
    </row>
    <row r="219" ht="15" customHeight="1" s="149">
      <c r="A219" s="209" t="n"/>
      <c r="B219" s="210">
        <f>IF(ISNUMBER(A219),YEAR(A219)&amp;"-"&amp;TEXT(MONTH(A219),"00"),"")</f>
        <v/>
      </c>
      <c r="J219" s="202">
        <f>IF(G219="","",IF(F219="User1",G219,IF(F219="User2",0,IF(I219="Да",G219*'⚙️ Настройки'!B15,G219*0.5))))</f>
        <v/>
      </c>
      <c r="K219" s="202">
        <f>IF(G219="","",IF(F219="User2",G219,IF(F219="User1",0,IF(I219="Да",G219*'⚙️ Настройки'!B16,G219*0.5))))</f>
        <v/>
      </c>
    </row>
    <row r="220" ht="15" customHeight="1" s="149">
      <c r="A220" s="209" t="n"/>
      <c r="B220" s="210">
        <f>IF(ISNUMBER(A220),YEAR(A220)&amp;"-"&amp;TEXT(MONTH(A220),"00"),"")</f>
        <v/>
      </c>
      <c r="J220" s="202">
        <f>IF(G220="","",IF(F220="User1",G220,IF(F220="User2",0,IF(I220="Да",G220*'⚙️ Настройки'!B15,G220*0.5))))</f>
        <v/>
      </c>
      <c r="K220" s="202">
        <f>IF(G220="","",IF(F220="User2",G220,IF(F220="User1",0,IF(I220="Да",G220*'⚙️ Настройки'!B16,G220*0.5))))</f>
        <v/>
      </c>
    </row>
    <row r="221" ht="15" customHeight="1" s="149">
      <c r="A221" s="209" t="n"/>
      <c r="B221" s="210">
        <f>IF(ISNUMBER(A221),YEAR(A221)&amp;"-"&amp;TEXT(MONTH(A221),"00"),"")</f>
        <v/>
      </c>
      <c r="J221" s="202">
        <f>IF(G221="","",IF(F221="User1",G221,IF(F221="User2",0,IF(I221="Да",G221*'⚙️ Настройки'!B15,G221*0.5))))</f>
        <v/>
      </c>
      <c r="K221" s="202">
        <f>IF(G221="","",IF(F221="User2",G221,IF(F221="User1",0,IF(I221="Да",G221*'⚙️ Настройки'!B16,G221*0.5))))</f>
        <v/>
      </c>
    </row>
    <row r="222" ht="15" customHeight="1" s="149">
      <c r="A222" s="209" t="n"/>
      <c r="B222" s="210">
        <f>IF(ISNUMBER(A222),YEAR(A222)&amp;"-"&amp;TEXT(MONTH(A222),"00"),"")</f>
        <v/>
      </c>
      <c r="J222" s="202">
        <f>IF(G222="","",IF(F222="User1",G222,IF(F222="User2",0,IF(I222="Да",G222*'⚙️ Настройки'!B15,G222*0.5))))</f>
        <v/>
      </c>
      <c r="K222" s="202">
        <f>IF(G222="","",IF(F222="User2",G222,IF(F222="User1",0,IF(I222="Да",G222*'⚙️ Настройки'!B16,G222*0.5))))</f>
        <v/>
      </c>
    </row>
    <row r="223" ht="15" customHeight="1" s="149">
      <c r="A223" s="209" t="n"/>
      <c r="B223" s="210">
        <f>IF(ISNUMBER(A223),YEAR(A223)&amp;"-"&amp;TEXT(MONTH(A223),"00"),"")</f>
        <v/>
      </c>
      <c r="J223" s="202">
        <f>IF(G223="","",IF(F223="User1",G223,IF(F223="User2",0,IF(I223="Да",G223*'⚙️ Настройки'!B15,G223*0.5))))</f>
        <v/>
      </c>
      <c r="K223" s="202">
        <f>IF(G223="","",IF(F223="User2",G223,IF(F223="User1",0,IF(I223="Да",G223*'⚙️ Настройки'!B16,G223*0.5))))</f>
        <v/>
      </c>
    </row>
    <row r="224" ht="15" customHeight="1" s="149">
      <c r="A224" s="209" t="n"/>
      <c r="B224" s="210">
        <f>IF(ISNUMBER(A224),YEAR(A224)&amp;"-"&amp;TEXT(MONTH(A224),"00"),"")</f>
        <v/>
      </c>
      <c r="J224" s="202">
        <f>IF(G224="","",IF(F224="User1",G224,IF(F224="User2",0,IF(I224="Да",G224*'⚙️ Настройки'!B15,G224*0.5))))</f>
        <v/>
      </c>
      <c r="K224" s="202">
        <f>IF(G224="","",IF(F224="User2",G224,IF(F224="User1",0,IF(I224="Да",G224*'⚙️ Настройки'!B16,G224*0.5))))</f>
        <v/>
      </c>
    </row>
    <row r="225" ht="15" customHeight="1" s="149">
      <c r="A225" s="209" t="n"/>
      <c r="B225" s="210">
        <f>IF(ISNUMBER(A225),YEAR(A225)&amp;"-"&amp;TEXT(MONTH(A225),"00"),"")</f>
        <v/>
      </c>
      <c r="J225" s="202">
        <f>IF(G225="","",IF(F225="User1",G225,IF(F225="User2",0,IF(I225="Да",G225*'⚙️ Настройки'!B15,G225*0.5))))</f>
        <v/>
      </c>
      <c r="K225" s="202">
        <f>IF(G225="","",IF(F225="User2",G225,IF(F225="User1",0,IF(I225="Да",G225*'⚙️ Настройки'!B16,G225*0.5))))</f>
        <v/>
      </c>
    </row>
    <row r="226" ht="15" customHeight="1" s="149">
      <c r="A226" s="209" t="n"/>
      <c r="B226" s="210">
        <f>IF(ISNUMBER(A226),YEAR(A226)&amp;"-"&amp;TEXT(MONTH(A226),"00"),"")</f>
        <v/>
      </c>
      <c r="J226" s="202">
        <f>IF(G226="","",IF(F226="User1",G226,IF(F226="User2",0,IF(I226="Да",G226*'⚙️ Настройки'!B15,G226*0.5))))</f>
        <v/>
      </c>
      <c r="K226" s="202">
        <f>IF(G226="","",IF(F226="User2",G226,IF(F226="User1",0,IF(I226="Да",G226*'⚙️ Настройки'!B16,G226*0.5))))</f>
        <v/>
      </c>
    </row>
    <row r="227" ht="15" customHeight="1" s="149">
      <c r="A227" s="209" t="n"/>
      <c r="B227" s="210">
        <f>IF(ISNUMBER(A227),YEAR(A227)&amp;"-"&amp;TEXT(MONTH(A227),"00"),"")</f>
        <v/>
      </c>
      <c r="J227" s="202">
        <f>IF(G227="","",IF(F227="User1",G227,IF(F227="User2",0,IF(I227="Да",G227*'⚙️ Настройки'!B15,G227*0.5))))</f>
        <v/>
      </c>
      <c r="K227" s="202">
        <f>IF(G227="","",IF(F227="User2",G227,IF(F227="User1",0,IF(I227="Да",G227*'⚙️ Настройки'!B16,G227*0.5))))</f>
        <v/>
      </c>
    </row>
    <row r="228" ht="15" customHeight="1" s="149">
      <c r="A228" s="209" t="n"/>
      <c r="B228" s="210">
        <f>IF(ISNUMBER(A228),YEAR(A228)&amp;"-"&amp;TEXT(MONTH(A228),"00"),"")</f>
        <v/>
      </c>
      <c r="J228" s="202">
        <f>IF(G228="","",IF(F228="User1",G228,IF(F228="User2",0,IF(I228="Да",G228*'⚙️ Настройки'!B15,G228*0.5))))</f>
        <v/>
      </c>
      <c r="K228" s="202">
        <f>IF(G228="","",IF(F228="User2",G228,IF(F228="User1",0,IF(I228="Да",G228*'⚙️ Настройки'!B16,G228*0.5))))</f>
        <v/>
      </c>
    </row>
    <row r="229" ht="15" customHeight="1" s="149">
      <c r="A229" s="209" t="n"/>
      <c r="B229" s="210">
        <f>IF(ISNUMBER(A229),YEAR(A229)&amp;"-"&amp;TEXT(MONTH(A229),"00"),"")</f>
        <v/>
      </c>
      <c r="J229" s="202">
        <f>IF(G229="","",IF(F229="User1",G229,IF(F229="User2",0,IF(I229="Да",G229*'⚙️ Настройки'!B15,G229*0.5))))</f>
        <v/>
      </c>
      <c r="K229" s="202">
        <f>IF(G229="","",IF(F229="User2",G229,IF(F229="User1",0,IF(I229="Да",G229*'⚙️ Настройки'!B16,G229*0.5))))</f>
        <v/>
      </c>
    </row>
    <row r="230" ht="15" customHeight="1" s="149">
      <c r="A230" s="209" t="n"/>
      <c r="B230" s="210">
        <f>IF(ISNUMBER(A230),YEAR(A230)&amp;"-"&amp;TEXT(MONTH(A230),"00"),"")</f>
        <v/>
      </c>
      <c r="J230" s="202">
        <f>IF(G230="","",IF(F230="User1",G230,IF(F230="User2",0,IF(I230="Да",G230*'⚙️ Настройки'!B15,G230*0.5))))</f>
        <v/>
      </c>
      <c r="K230" s="202">
        <f>IF(G230="","",IF(F230="User2",G230,IF(F230="User1",0,IF(I230="Да",G230*'⚙️ Настройки'!B16,G230*0.5))))</f>
        <v/>
      </c>
    </row>
    <row r="231" ht="15" customHeight="1" s="149">
      <c r="A231" s="209" t="n"/>
      <c r="B231" s="210">
        <f>IF(ISNUMBER(A231),YEAR(A231)&amp;"-"&amp;TEXT(MONTH(A231),"00"),"")</f>
        <v/>
      </c>
      <c r="J231" s="202">
        <f>IF(G231="","",IF(F231="User1",G231,IF(F231="User2",0,IF(I231="Да",G231*'⚙️ Настройки'!B15,G231*0.5))))</f>
        <v/>
      </c>
      <c r="K231" s="202">
        <f>IF(G231="","",IF(F231="User2",G231,IF(F231="User1",0,IF(I231="Да",G231*'⚙️ Настройки'!B16,G231*0.5))))</f>
        <v/>
      </c>
    </row>
    <row r="232" ht="15" customHeight="1" s="149">
      <c r="A232" s="209" t="n"/>
      <c r="B232" s="210">
        <f>IF(ISNUMBER(A232),YEAR(A232)&amp;"-"&amp;TEXT(MONTH(A232),"00"),"")</f>
        <v/>
      </c>
      <c r="J232" s="202">
        <f>IF(G232="","",IF(F232="User1",G232,IF(F232="User2",0,IF(I232="Да",G232*'⚙️ Настройки'!B15,G232*0.5))))</f>
        <v/>
      </c>
      <c r="K232" s="202">
        <f>IF(G232="","",IF(F232="User2",G232,IF(F232="User1",0,IF(I232="Да",G232*'⚙️ Настройки'!B16,G232*0.5))))</f>
        <v/>
      </c>
    </row>
    <row r="233" ht="15" customHeight="1" s="149">
      <c r="A233" s="209" t="n"/>
      <c r="B233" s="210">
        <f>IF(ISNUMBER(A233),YEAR(A233)&amp;"-"&amp;TEXT(MONTH(A233),"00"),"")</f>
        <v/>
      </c>
      <c r="J233" s="202">
        <f>IF(G233="","",IF(F233="User1",G233,IF(F233="User2",0,IF(I233="Да",G233*'⚙️ Настройки'!B15,G233*0.5))))</f>
        <v/>
      </c>
      <c r="K233" s="202">
        <f>IF(G233="","",IF(F233="User2",G233,IF(F233="User1",0,IF(I233="Да",G233*'⚙️ Настройки'!B16,G233*0.5))))</f>
        <v/>
      </c>
    </row>
    <row r="234" ht="15" customHeight="1" s="149">
      <c r="A234" s="209" t="n"/>
      <c r="B234" s="210">
        <f>IF(ISNUMBER(A234),YEAR(A234)&amp;"-"&amp;TEXT(MONTH(A234),"00"),"")</f>
        <v/>
      </c>
      <c r="J234" s="202">
        <f>IF(G234="","",IF(F234="User1",G234,IF(F234="User2",0,IF(I234="Да",G234*'⚙️ Настройки'!B15,G234*0.5))))</f>
        <v/>
      </c>
      <c r="K234" s="202">
        <f>IF(G234="","",IF(F234="User2",G234,IF(F234="User1",0,IF(I234="Да",G234*'⚙️ Настройки'!B16,G234*0.5))))</f>
        <v/>
      </c>
    </row>
    <row r="235" ht="15" customHeight="1" s="149">
      <c r="A235" s="209" t="n"/>
      <c r="B235" s="210">
        <f>IF(ISNUMBER(A235),YEAR(A235)&amp;"-"&amp;TEXT(MONTH(A235),"00"),"")</f>
        <v/>
      </c>
      <c r="J235" s="202">
        <f>IF(G235="","",IF(F235="User1",G235,IF(F235="User2",0,IF(I235="Да",G235*'⚙️ Настройки'!B15,G235*0.5))))</f>
        <v/>
      </c>
      <c r="K235" s="202">
        <f>IF(G235="","",IF(F235="User2",G235,IF(F235="User1",0,IF(I235="Да",G235*'⚙️ Настройки'!B16,G235*0.5))))</f>
        <v/>
      </c>
    </row>
    <row r="236" ht="15" customHeight="1" s="149">
      <c r="A236" s="209" t="n"/>
      <c r="B236" s="210">
        <f>IF(ISNUMBER(A236),YEAR(A236)&amp;"-"&amp;TEXT(MONTH(A236),"00"),"")</f>
        <v/>
      </c>
      <c r="J236" s="202">
        <f>IF(G236="","",IF(F236="User1",G236,IF(F236="User2",0,IF(I236="Да",G236*'⚙️ Настройки'!B15,G236*0.5))))</f>
        <v/>
      </c>
      <c r="K236" s="202">
        <f>IF(G236="","",IF(F236="User2",G236,IF(F236="User1",0,IF(I236="Да",G236*'⚙️ Настройки'!B16,G236*0.5))))</f>
        <v/>
      </c>
    </row>
    <row r="237" ht="15" customHeight="1" s="149">
      <c r="A237" s="209" t="n"/>
      <c r="B237" s="210">
        <f>IF(ISNUMBER(A237),YEAR(A237)&amp;"-"&amp;TEXT(MONTH(A237),"00"),"")</f>
        <v/>
      </c>
      <c r="J237" s="202">
        <f>IF(G237="","",IF(F237="User1",G237,IF(F237="User2",0,IF(I237="Да",G237*'⚙️ Настройки'!B15,G237*0.5))))</f>
        <v/>
      </c>
      <c r="K237" s="202">
        <f>IF(G237="","",IF(F237="User2",G237,IF(F237="User1",0,IF(I237="Да",G237*'⚙️ Настройки'!B16,G237*0.5))))</f>
        <v/>
      </c>
    </row>
    <row r="238" ht="15" customHeight="1" s="149">
      <c r="A238" s="209" t="n"/>
      <c r="B238" s="210">
        <f>IF(ISNUMBER(A238),YEAR(A238)&amp;"-"&amp;TEXT(MONTH(A238),"00"),"")</f>
        <v/>
      </c>
      <c r="J238" s="202">
        <f>IF(G238="","",IF(F238="User1",G238,IF(F238="User2",0,IF(I238="Да",G238*'⚙️ Настройки'!B15,G238*0.5))))</f>
        <v/>
      </c>
      <c r="K238" s="202">
        <f>IF(G238="","",IF(F238="User2",G238,IF(F238="User1",0,IF(I238="Да",G238*'⚙️ Настройки'!B16,G238*0.5))))</f>
        <v/>
      </c>
    </row>
    <row r="239" ht="15" customHeight="1" s="149">
      <c r="A239" s="209" t="n"/>
      <c r="B239" s="210">
        <f>IF(ISNUMBER(A239),YEAR(A239)&amp;"-"&amp;TEXT(MONTH(A239),"00"),"")</f>
        <v/>
      </c>
      <c r="J239" s="202">
        <f>IF(G239="","",IF(F239="User1",G239,IF(F239="User2",0,IF(I239="Да",G239*'⚙️ Настройки'!B15,G239*0.5))))</f>
        <v/>
      </c>
      <c r="K239" s="202">
        <f>IF(G239="","",IF(F239="User2",G239,IF(F239="User1",0,IF(I239="Да",G239*'⚙️ Настройки'!B16,G239*0.5))))</f>
        <v/>
      </c>
    </row>
    <row r="240" ht="15" customHeight="1" s="149">
      <c r="A240" s="209" t="n"/>
      <c r="B240" s="210">
        <f>IF(ISNUMBER(A240),YEAR(A240)&amp;"-"&amp;TEXT(MONTH(A240),"00"),"")</f>
        <v/>
      </c>
      <c r="J240" s="202">
        <f>IF(G240="","",IF(F240="User1",G240,IF(F240="User2",0,IF(I240="Да",G240*'⚙️ Настройки'!B15,G240*0.5))))</f>
        <v/>
      </c>
      <c r="K240" s="202">
        <f>IF(G240="","",IF(F240="User2",G240,IF(F240="User1",0,IF(I240="Да",G240*'⚙️ Настройки'!B16,G240*0.5))))</f>
        <v/>
      </c>
    </row>
    <row r="241" ht="15" customHeight="1" s="149">
      <c r="A241" s="209" t="n"/>
      <c r="B241" s="210">
        <f>IF(ISNUMBER(A241),YEAR(A241)&amp;"-"&amp;TEXT(MONTH(A241),"00"),"")</f>
        <v/>
      </c>
      <c r="J241" s="202">
        <f>IF(G241="","",IF(F241="User1",G241,IF(F241="User2",0,IF(I241="Да",G241*'⚙️ Настройки'!B15,G241*0.5))))</f>
        <v/>
      </c>
      <c r="K241" s="202">
        <f>IF(G241="","",IF(F241="User2",G241,IF(F241="User1",0,IF(I241="Да",G241*'⚙️ Настройки'!B16,G241*0.5))))</f>
        <v/>
      </c>
    </row>
    <row r="242" ht="15" customHeight="1" s="149">
      <c r="A242" s="209" t="n"/>
      <c r="B242" s="210">
        <f>IF(ISNUMBER(A242),YEAR(A242)&amp;"-"&amp;TEXT(MONTH(A242),"00"),"")</f>
        <v/>
      </c>
      <c r="J242" s="202">
        <f>IF(G242="","",IF(F242="User1",G242,IF(F242="User2",0,IF(I242="Да",G242*'⚙️ Настройки'!B15,G242*0.5))))</f>
        <v/>
      </c>
      <c r="K242" s="202">
        <f>IF(G242="","",IF(F242="User2",G242,IF(F242="User1",0,IF(I242="Да",G242*'⚙️ Настройки'!B16,G242*0.5))))</f>
        <v/>
      </c>
    </row>
    <row r="243" ht="15" customHeight="1" s="149">
      <c r="A243" s="209" t="n"/>
      <c r="B243" s="210">
        <f>IF(ISNUMBER(A243),YEAR(A243)&amp;"-"&amp;TEXT(MONTH(A243),"00"),"")</f>
        <v/>
      </c>
      <c r="J243" s="202">
        <f>IF(G243="","",IF(F243="User1",G243,IF(F243="User2",0,IF(I243="Да",G243*'⚙️ Настройки'!B15,G243*0.5))))</f>
        <v/>
      </c>
      <c r="K243" s="202">
        <f>IF(G243="","",IF(F243="User2",G243,IF(F243="User1",0,IF(I243="Да",G243*'⚙️ Настройки'!B16,G243*0.5))))</f>
        <v/>
      </c>
    </row>
    <row r="244" ht="15" customHeight="1" s="149">
      <c r="A244" s="209" t="n"/>
      <c r="B244" s="210">
        <f>IF(ISNUMBER(A244),YEAR(A244)&amp;"-"&amp;TEXT(MONTH(A244),"00"),"")</f>
        <v/>
      </c>
      <c r="J244" s="202">
        <f>IF(G244="","",IF(F244="User1",G244,IF(F244="User2",0,IF(I244="Да",G244*'⚙️ Настройки'!B15,G244*0.5))))</f>
        <v/>
      </c>
      <c r="K244" s="202">
        <f>IF(G244="","",IF(F244="User2",G244,IF(F244="User1",0,IF(I244="Да",G244*'⚙️ Настройки'!B16,G244*0.5))))</f>
        <v/>
      </c>
    </row>
    <row r="245" ht="15.75" customHeight="1" s="149">
      <c r="A245" s="209" t="n"/>
      <c r="B245" s="210">
        <f>IF(ISNUMBER(A245),YEAR(A245)&amp;"-"&amp;TEXT(MONTH(A245),"00"),"")</f>
        <v/>
      </c>
      <c r="J245" s="202">
        <f>IF(G245="","",IF(F245="User1",G245,IF(F245="User2",0,IF(I245="Да",G245*'⚙️ Настройки'!B15,G245*0.5))))</f>
        <v/>
      </c>
      <c r="K245" s="202">
        <f>IF(G245="","",IF(F245="User2",G245,IF(F245="User1",0,IF(I245="Да",G245*'⚙️ Настройки'!B16,G245*0.5))))</f>
        <v/>
      </c>
    </row>
    <row r="246" ht="15.75" customHeight="1" s="149">
      <c r="A246" s="209" t="n"/>
      <c r="B246" s="210">
        <f>IF(ISNUMBER(A246),YEAR(A246)&amp;"-"&amp;TEXT(MONTH(A246),"00"),"")</f>
        <v/>
      </c>
      <c r="J246" s="202">
        <f>IF(G246="","",IF(F246="User1",G246,IF(F246="User2",0,IF(I246="Да",G246*'⚙️ Настройки'!B15,G246*0.5))))</f>
        <v/>
      </c>
      <c r="K246" s="202">
        <f>IF(G246="","",IF(F246="User2",G246,IF(F246="User1",0,IF(I246="Да",G246*'⚙️ Настройки'!B16,G246*0.5))))</f>
        <v/>
      </c>
    </row>
    <row r="247" ht="15.75" customHeight="1" s="149">
      <c r="A247" s="209" t="n"/>
      <c r="B247" s="210">
        <f>IF(ISNUMBER(A247),YEAR(A247)&amp;"-"&amp;TEXT(MONTH(A247),"00"),"")</f>
        <v/>
      </c>
      <c r="J247" s="202">
        <f>IF(G247="","",IF(F247="User1",G247,IF(F247="User2",0,IF(I247="Да",G247*'⚙️ Настройки'!B15,G247*0.5))))</f>
        <v/>
      </c>
      <c r="K247" s="202">
        <f>IF(G247="","",IF(F247="User2",G247,IF(F247="User1",0,IF(I247="Да",G247*'⚙️ Настройки'!B16,G247*0.5))))</f>
        <v/>
      </c>
    </row>
    <row r="248" ht="15.75" customHeight="1" s="149">
      <c r="A248" s="209" t="n"/>
      <c r="B248" s="210">
        <f>IF(ISNUMBER(A248),YEAR(A248)&amp;"-"&amp;TEXT(MONTH(A248),"00"),"")</f>
        <v/>
      </c>
      <c r="J248" s="202">
        <f>IF(G248="","",IF(F248="User1",G248,IF(F248="User2",0,IF(I248="Да",G248*'⚙️ Настройки'!B15,G248*0.5))))</f>
        <v/>
      </c>
      <c r="K248" s="202">
        <f>IF(G248="","",IF(F248="User2",G248,IF(F248="User1",0,IF(I248="Да",G248*'⚙️ Настройки'!B16,G248*0.5))))</f>
        <v/>
      </c>
    </row>
    <row r="249" ht="15.75" customHeight="1" s="149">
      <c r="A249" s="209" t="n"/>
      <c r="B249" s="210">
        <f>IF(ISNUMBER(A249),YEAR(A249)&amp;"-"&amp;TEXT(MONTH(A249),"00"),"")</f>
        <v/>
      </c>
      <c r="J249" s="202">
        <f>IF(G249="","",IF(F249="User1",G249,IF(F249="User2",0,IF(I249="Да",G249*'⚙️ Настройки'!B15,G249*0.5))))</f>
        <v/>
      </c>
      <c r="K249" s="202">
        <f>IF(G249="","",IF(F249="User2",G249,IF(F249="User1",0,IF(I249="Да",G249*'⚙️ Настройки'!B16,G249*0.5))))</f>
        <v/>
      </c>
    </row>
    <row r="250" ht="15.75" customHeight="1" s="149">
      <c r="A250" s="209" t="n"/>
      <c r="B250" s="210">
        <f>IF(ISNUMBER(A250),YEAR(A250)&amp;"-"&amp;TEXT(MONTH(A250),"00"),"")</f>
        <v/>
      </c>
      <c r="J250" s="202">
        <f>IF(G250="","",IF(F250="User1",G250,IF(F250="User2",0,IF(I250="Да",G250*'⚙️ Настройки'!B15,G250*0.5))))</f>
        <v/>
      </c>
      <c r="K250" s="202">
        <f>IF(G250="","",IF(F250="User2",G250,IF(F250="User1",0,IF(I250="Да",G250*'⚙️ Настройки'!B16,G250*0.5))))</f>
        <v/>
      </c>
    </row>
    <row r="251" ht="15.75" customHeight="1" s="149">
      <c r="A251" s="209" t="n"/>
      <c r="B251" s="210">
        <f>IF(ISNUMBER(A251),YEAR(A251)&amp;"-"&amp;TEXT(MONTH(A251),"00"),"")</f>
        <v/>
      </c>
      <c r="J251" s="202">
        <f>IF(G251="","",IF(F251="User1",G251,IF(F251="User2",0,IF(I251="Да",G251*'⚙️ Настройки'!B15,G251*0.5))))</f>
        <v/>
      </c>
      <c r="K251" s="202">
        <f>IF(G251="","",IF(F251="User2",G251,IF(F251="User1",0,IF(I251="Да",G251*'⚙️ Настройки'!B16,G251*0.5))))</f>
        <v/>
      </c>
    </row>
    <row r="252" ht="15.75" customHeight="1" s="149">
      <c r="A252" s="209" t="n"/>
      <c r="B252" s="210">
        <f>IF(ISNUMBER(A252),YEAR(A252)&amp;"-"&amp;TEXT(MONTH(A252),"00"),"")</f>
        <v/>
      </c>
      <c r="J252" s="202">
        <f>IF(G252="","",IF(F252="User1",G252,IF(F252="User2",0,IF(I252="Да",G252*'⚙️ Настройки'!B15,G252*0.5))))</f>
        <v/>
      </c>
      <c r="K252" s="202">
        <f>IF(G252="","",IF(F252="User2",G252,IF(F252="User1",0,IF(I252="Да",G252*'⚙️ Настройки'!B16,G252*0.5))))</f>
        <v/>
      </c>
    </row>
    <row r="253" ht="15.75" customHeight="1" s="149">
      <c r="A253" s="209" t="n"/>
      <c r="B253" s="210">
        <f>IF(ISNUMBER(A253),YEAR(A253)&amp;"-"&amp;TEXT(MONTH(A253),"00"),"")</f>
        <v/>
      </c>
      <c r="J253" s="202">
        <f>IF(G253="","",IF(F253="User1",G253,IF(F253="User2",0,IF(I253="Да",G253*'⚙️ Настройки'!B15,G253*0.5))))</f>
        <v/>
      </c>
      <c r="K253" s="202">
        <f>IF(G253="","",IF(F253="User2",G253,IF(F253="User1",0,IF(I253="Да",G253*'⚙️ Настройки'!B16,G253*0.5))))</f>
        <v/>
      </c>
    </row>
    <row r="254" ht="15.75" customHeight="1" s="149">
      <c r="A254" s="209" t="n"/>
      <c r="B254" s="210">
        <f>IF(ISNUMBER(A254),YEAR(A254)&amp;"-"&amp;TEXT(MONTH(A254),"00"),"")</f>
        <v/>
      </c>
      <c r="J254" s="202">
        <f>IF(G254="","",IF(F254="User1",G254,IF(F254="User2",0,IF(I254="Да",G254*'⚙️ Настройки'!B15,G254*0.5))))</f>
        <v/>
      </c>
      <c r="K254" s="202">
        <f>IF(G254="","",IF(F254="User2",G254,IF(F254="User1",0,IF(I254="Да",G254*'⚙️ Настройки'!B16,G254*0.5))))</f>
        <v/>
      </c>
    </row>
    <row r="255" ht="15.75" customHeight="1" s="149">
      <c r="A255" s="209" t="n"/>
      <c r="B255" s="210">
        <f>IF(ISNUMBER(A255),YEAR(A255)&amp;"-"&amp;TEXT(MONTH(A255),"00"),"")</f>
        <v/>
      </c>
      <c r="J255" s="202">
        <f>IF(G255="","",IF(F255="User1",G255,IF(F255="User2",0,IF(I255="Да",G255*'⚙️ Настройки'!B15,G255*0.5))))</f>
        <v/>
      </c>
      <c r="K255" s="202">
        <f>IF(G255="","",IF(F255="User2",G255,IF(F255="User1",0,IF(I255="Да",G255*'⚙️ Настройки'!B16,G255*0.5))))</f>
        <v/>
      </c>
    </row>
    <row r="256" ht="15.75" customHeight="1" s="149">
      <c r="A256" s="209" t="n"/>
      <c r="B256" s="210">
        <f>IF(ISNUMBER(A256),YEAR(A256)&amp;"-"&amp;TEXT(MONTH(A256),"00"),"")</f>
        <v/>
      </c>
      <c r="J256" s="202">
        <f>IF(G256="","",IF(F256="User1",G256,IF(F256="User2",0,IF(I256="Да",G256*'⚙️ Настройки'!B15,G256*0.5))))</f>
        <v/>
      </c>
      <c r="K256" s="202">
        <f>IF(G256="","",IF(F256="User2",G256,IF(F256="User1",0,IF(I256="Да",G256*'⚙️ Настройки'!B16,G256*0.5))))</f>
        <v/>
      </c>
    </row>
    <row r="257" ht="15.75" customHeight="1" s="149">
      <c r="A257" s="209" t="n"/>
      <c r="B257" s="210">
        <f>IF(ISNUMBER(A257),YEAR(A257)&amp;"-"&amp;TEXT(MONTH(A257),"00"),"")</f>
        <v/>
      </c>
      <c r="J257" s="202">
        <f>IF(G257="","",IF(F257="User1",G257,IF(F257="User2",0,IF(I257="Да",G257*'⚙️ Настройки'!B15,G257*0.5))))</f>
        <v/>
      </c>
      <c r="K257" s="202">
        <f>IF(G257="","",IF(F257="User2",G257,IF(F257="User1",0,IF(I257="Да",G257*'⚙️ Настройки'!B16,G257*0.5))))</f>
        <v/>
      </c>
    </row>
    <row r="258" ht="15.75" customHeight="1" s="149">
      <c r="A258" s="209" t="n"/>
      <c r="B258" s="210">
        <f>IF(ISNUMBER(A258),YEAR(A258)&amp;"-"&amp;TEXT(MONTH(A258),"00"),"")</f>
        <v/>
      </c>
      <c r="J258" s="202">
        <f>IF(G258="","",IF(F258="User1",G258,IF(F258="User2",0,IF(I258="Да",G258*'⚙️ Настройки'!B15,G258*0.5))))</f>
        <v/>
      </c>
      <c r="K258" s="202">
        <f>IF(G258="","",IF(F258="User2",G258,IF(F258="User1",0,IF(I258="Да",G258*'⚙️ Настройки'!B16,G258*0.5))))</f>
        <v/>
      </c>
    </row>
    <row r="259" ht="15.75" customHeight="1" s="149">
      <c r="A259" s="209" t="n"/>
      <c r="B259" s="210">
        <f>IF(ISNUMBER(A259),YEAR(A259)&amp;"-"&amp;TEXT(MONTH(A259),"00"),"")</f>
        <v/>
      </c>
      <c r="J259" s="202">
        <f>IF(G259="","",IF(F259="User1",G259,IF(F259="User2",0,IF(I259="Да",G259*'⚙️ Настройки'!B15,G259*0.5))))</f>
        <v/>
      </c>
      <c r="K259" s="202">
        <f>IF(G259="","",IF(F259="User2",G259,IF(F259="User1",0,IF(I259="Да",G259*'⚙️ Настройки'!B16,G259*0.5))))</f>
        <v/>
      </c>
    </row>
    <row r="260" ht="15.75" customHeight="1" s="149">
      <c r="A260" s="209" t="n"/>
      <c r="B260" s="210">
        <f>IF(ISNUMBER(A260),YEAR(A260)&amp;"-"&amp;TEXT(MONTH(A260),"00"),"")</f>
        <v/>
      </c>
      <c r="J260" s="202">
        <f>IF(G260="","",IF(F260="User1",G260,IF(F260="User2",0,IF(I260="Да",G260*'⚙️ Настройки'!B15,G260*0.5))))</f>
        <v/>
      </c>
      <c r="K260" s="202">
        <f>IF(G260="","",IF(F260="User2",G260,IF(F260="User1",0,IF(I260="Да",G260*'⚙️ Настройки'!B16,G260*0.5))))</f>
        <v/>
      </c>
    </row>
    <row r="261" ht="15.75" customHeight="1" s="149">
      <c r="A261" s="209" t="n"/>
      <c r="B261" s="210">
        <f>IF(ISNUMBER(A261),YEAR(A261)&amp;"-"&amp;TEXT(MONTH(A261),"00"),"")</f>
        <v/>
      </c>
      <c r="J261" s="202">
        <f>IF(G261="","",IF(F261="User1",G261,IF(F261="User2",0,IF(I261="Да",G261*'⚙️ Настройки'!B15,G261*0.5))))</f>
        <v/>
      </c>
      <c r="K261" s="202">
        <f>IF(G261="","",IF(F261="User2",G261,IF(F261="User1",0,IF(I261="Да",G261*'⚙️ Настройки'!B16,G261*0.5))))</f>
        <v/>
      </c>
    </row>
    <row r="262" ht="15.75" customHeight="1" s="149">
      <c r="A262" s="209" t="n"/>
      <c r="B262" s="210">
        <f>IF(ISNUMBER(A262),YEAR(A262)&amp;"-"&amp;TEXT(MONTH(A262),"00"),"")</f>
        <v/>
      </c>
      <c r="J262" s="202">
        <f>IF(G262="","",IF(F262="User1",G262,IF(F262="User2",0,IF(I262="Да",G262*'⚙️ Настройки'!B15,G262*0.5))))</f>
        <v/>
      </c>
      <c r="K262" s="202">
        <f>IF(G262="","",IF(F262="User2",G262,IF(F262="User1",0,IF(I262="Да",G262*'⚙️ Настройки'!B16,G262*0.5))))</f>
        <v/>
      </c>
    </row>
    <row r="263" ht="15.75" customHeight="1" s="149">
      <c r="A263" s="209" t="n"/>
      <c r="B263" s="210">
        <f>IF(ISNUMBER(A263),YEAR(A263)&amp;"-"&amp;TEXT(MONTH(A263),"00"),"")</f>
        <v/>
      </c>
      <c r="J263" s="202">
        <f>IF(G263="","",IF(F263="User1",G263,IF(F263="User2",0,IF(I263="Да",G263*'⚙️ Настройки'!B15,G263*0.5))))</f>
        <v/>
      </c>
      <c r="K263" s="202">
        <f>IF(G263="","",IF(F263="User2",G263,IF(F263="User1",0,IF(I263="Да",G263*'⚙️ Настройки'!B16,G263*0.5))))</f>
        <v/>
      </c>
    </row>
    <row r="264" ht="15.75" customHeight="1" s="149">
      <c r="A264" s="209" t="n"/>
      <c r="B264" s="210">
        <f>IF(ISNUMBER(A264),YEAR(A264)&amp;"-"&amp;TEXT(MONTH(A264),"00"),"")</f>
        <v/>
      </c>
      <c r="J264" s="202">
        <f>IF(G264="","",IF(F264="User1",G264,IF(F264="User2",0,IF(I264="Да",G264*'⚙️ Настройки'!B15,G264*0.5))))</f>
        <v/>
      </c>
      <c r="K264" s="202">
        <f>IF(G264="","",IF(F264="User2",G264,IF(F264="User1",0,IF(I264="Да",G264*'⚙️ Настройки'!B16,G264*0.5))))</f>
        <v/>
      </c>
    </row>
    <row r="265" ht="15.75" customHeight="1" s="149">
      <c r="A265" s="209" t="n"/>
      <c r="B265" s="210">
        <f>IF(ISNUMBER(A265),YEAR(A265)&amp;"-"&amp;TEXT(MONTH(A265),"00"),"")</f>
        <v/>
      </c>
      <c r="J265" s="202">
        <f>IF(G265="","",IF(F265="User1",G265,IF(F265="User2",0,IF(I265="Да",G265*'⚙️ Настройки'!B15,G265*0.5))))</f>
        <v/>
      </c>
      <c r="K265" s="202">
        <f>IF(G265="","",IF(F265="User2",G265,IF(F265="User1",0,IF(I265="Да",G265*'⚙️ Настройки'!B16,G265*0.5))))</f>
        <v/>
      </c>
    </row>
    <row r="266" ht="15.75" customHeight="1" s="149">
      <c r="A266" s="209" t="n"/>
      <c r="B266" s="210">
        <f>IF(ISNUMBER(A266),YEAR(A266)&amp;"-"&amp;TEXT(MONTH(A266),"00"),"")</f>
        <v/>
      </c>
      <c r="J266" s="202">
        <f>IF(G266="","",IF(F266="User1",G266,IF(F266="User2",0,IF(I266="Да",G266*'⚙️ Настройки'!B15,G266*0.5))))</f>
        <v/>
      </c>
      <c r="K266" s="202">
        <f>IF(G266="","",IF(F266="User2",G266,IF(F266="User1",0,IF(I266="Да",G266*'⚙️ Настройки'!B16,G266*0.5))))</f>
        <v/>
      </c>
    </row>
    <row r="267" ht="15.75" customHeight="1" s="149">
      <c r="A267" s="209" t="n"/>
      <c r="B267" s="210">
        <f>IF(ISNUMBER(A267),YEAR(A267)&amp;"-"&amp;TEXT(MONTH(A267),"00"),"")</f>
        <v/>
      </c>
      <c r="J267" s="202">
        <f>IF(G267="","",IF(F267="User1",G267,IF(F267="User2",0,IF(I267="Да",G267*'⚙️ Настройки'!B15,G267*0.5))))</f>
        <v/>
      </c>
      <c r="K267" s="202">
        <f>IF(G267="","",IF(F267="User2",G267,IF(F267="User1",0,IF(I267="Да",G267*'⚙️ Настройки'!B16,G267*0.5))))</f>
        <v/>
      </c>
    </row>
    <row r="268" ht="15.75" customHeight="1" s="149">
      <c r="A268" s="209" t="n"/>
      <c r="B268" s="210">
        <f>IF(ISNUMBER(A268),YEAR(A268)&amp;"-"&amp;TEXT(MONTH(A268),"00"),"")</f>
        <v/>
      </c>
      <c r="J268" s="202">
        <f>IF(G268="","",IF(F268="User1",G268,IF(F268="User2",0,IF(I268="Да",G268*'⚙️ Настройки'!B15,G268*0.5))))</f>
        <v/>
      </c>
      <c r="K268" s="202">
        <f>IF(G268="","",IF(F268="User2",G268,IF(F268="User1",0,IF(I268="Да",G268*'⚙️ Настройки'!B16,G268*0.5))))</f>
        <v/>
      </c>
    </row>
    <row r="269" ht="15.75" customHeight="1" s="149">
      <c r="A269" s="209" t="n"/>
      <c r="B269" s="210">
        <f>IF(ISNUMBER(A269),YEAR(A269)&amp;"-"&amp;TEXT(MONTH(A269),"00"),"")</f>
        <v/>
      </c>
      <c r="J269" s="202">
        <f>IF(G269="","",IF(F269="User1",G269,IF(F269="User2",0,IF(I269="Да",G269*'⚙️ Настройки'!B15,G269*0.5))))</f>
        <v/>
      </c>
      <c r="K269" s="202">
        <f>IF(G269="","",IF(F269="User2",G269,IF(F269="User1",0,IF(I269="Да",G269*'⚙️ Настройки'!B16,G269*0.5))))</f>
        <v/>
      </c>
    </row>
    <row r="270" ht="15.75" customHeight="1" s="149">
      <c r="A270" s="209" t="n"/>
      <c r="B270" s="210">
        <f>IF(ISNUMBER(A270),YEAR(A270)&amp;"-"&amp;TEXT(MONTH(A270),"00"),"")</f>
        <v/>
      </c>
      <c r="J270" s="202">
        <f>IF(G270="","",IF(F270="User1",G270,IF(F270="User2",0,IF(I270="Да",G270*'⚙️ Настройки'!B15,G270*0.5))))</f>
        <v/>
      </c>
      <c r="K270" s="202">
        <f>IF(G270="","",IF(F270="User2",G270,IF(F270="User1",0,IF(I270="Да",G270*'⚙️ Настройки'!B16,G270*0.5))))</f>
        <v/>
      </c>
    </row>
    <row r="271" ht="15.75" customHeight="1" s="149">
      <c r="A271" s="209" t="n"/>
      <c r="B271" s="210">
        <f>IF(ISNUMBER(A271),YEAR(A271)&amp;"-"&amp;TEXT(MONTH(A271),"00"),"")</f>
        <v/>
      </c>
      <c r="J271" s="202">
        <f>IF(G271="","",IF(F271="User1",G271,IF(F271="User2",0,IF(I271="Да",G271*'⚙️ Настройки'!B15,G271*0.5))))</f>
        <v/>
      </c>
      <c r="K271" s="202">
        <f>IF(G271="","",IF(F271="User2",G271,IF(F271="User1",0,IF(I271="Да",G271*'⚙️ Настройки'!B16,G271*0.5))))</f>
        <v/>
      </c>
    </row>
    <row r="272" ht="15.75" customHeight="1" s="149">
      <c r="A272" s="209" t="n"/>
      <c r="B272" s="210">
        <f>IF(ISNUMBER(A272),YEAR(A272)&amp;"-"&amp;TEXT(MONTH(A272),"00"),"")</f>
        <v/>
      </c>
      <c r="J272" s="202">
        <f>IF(G272="","",IF(F272="User1",G272,IF(F272="User2",0,IF(I272="Да",G272*'⚙️ Настройки'!B15,G272*0.5))))</f>
        <v/>
      </c>
      <c r="K272" s="202">
        <f>IF(G272="","",IF(F272="User2",G272,IF(F272="User1",0,IF(I272="Да",G272*'⚙️ Настройки'!B16,G272*0.5))))</f>
        <v/>
      </c>
    </row>
    <row r="273" ht="15.75" customHeight="1" s="149">
      <c r="A273" s="209" t="n"/>
      <c r="B273" s="210">
        <f>IF(ISNUMBER(A273),YEAR(A273)&amp;"-"&amp;TEXT(MONTH(A273),"00"),"")</f>
        <v/>
      </c>
      <c r="J273" s="202">
        <f>IF(G273="","",IF(F273="User1",G273,IF(F273="User2",0,IF(I273="Да",G273*'⚙️ Настройки'!B15,G273*0.5))))</f>
        <v/>
      </c>
      <c r="K273" s="202">
        <f>IF(G273="","",IF(F273="User2",G273,IF(F273="User1",0,IF(I273="Да",G273*'⚙️ Настройки'!B16,G273*0.5))))</f>
        <v/>
      </c>
    </row>
    <row r="274" ht="15.75" customHeight="1" s="149">
      <c r="A274" s="209" t="n"/>
      <c r="B274" s="210">
        <f>IF(ISNUMBER(A274),YEAR(A274)&amp;"-"&amp;TEXT(MONTH(A274),"00"),"")</f>
        <v/>
      </c>
      <c r="J274" s="202">
        <f>IF(G274="","",IF(F274="User1",G274,IF(F274="User2",0,IF(I274="Да",G274*'⚙️ Настройки'!B15,G274*0.5))))</f>
        <v/>
      </c>
      <c r="K274" s="202">
        <f>IF(G274="","",IF(F274="User2",G274,IF(F274="User1",0,IF(I274="Да",G274*'⚙️ Настройки'!B16,G274*0.5))))</f>
        <v/>
      </c>
    </row>
    <row r="275" ht="15.75" customHeight="1" s="149">
      <c r="A275" s="209" t="n"/>
      <c r="B275" s="210">
        <f>IF(ISNUMBER(A275),YEAR(A275)&amp;"-"&amp;TEXT(MONTH(A275),"00"),"")</f>
        <v/>
      </c>
      <c r="J275" s="202">
        <f>IF(G275="","",IF(F275="User1",G275,IF(F275="User2",0,IF(I275="Да",G275*'⚙️ Настройки'!B15,G275*0.5))))</f>
        <v/>
      </c>
      <c r="K275" s="202">
        <f>IF(G275="","",IF(F275="User2",G275,IF(F275="User1",0,IF(I275="Да",G275*'⚙️ Настройки'!B16,G275*0.5))))</f>
        <v/>
      </c>
    </row>
    <row r="276" ht="15.75" customHeight="1" s="149">
      <c r="A276" s="209" t="n"/>
      <c r="B276" s="210">
        <f>IF(ISNUMBER(A276),YEAR(A276)&amp;"-"&amp;TEXT(MONTH(A276),"00"),"")</f>
        <v/>
      </c>
      <c r="J276" s="202">
        <f>IF(G276="","",IF(F276="User1",G276,IF(F276="User2",0,IF(I276="Да",G276*'⚙️ Настройки'!B15,G276*0.5))))</f>
        <v/>
      </c>
      <c r="K276" s="202">
        <f>IF(G276="","",IF(F276="User2",G276,IF(F276="User1",0,IF(I276="Да",G276*'⚙️ Настройки'!B16,G276*0.5))))</f>
        <v/>
      </c>
    </row>
    <row r="277" ht="15.75" customHeight="1" s="149">
      <c r="A277" s="209" t="n"/>
      <c r="B277" s="210">
        <f>IF(ISNUMBER(A277),YEAR(A277)&amp;"-"&amp;TEXT(MONTH(A277),"00"),"")</f>
        <v/>
      </c>
      <c r="J277" s="202">
        <f>IF(G277="","",IF(F277="User1",G277,IF(F277="User2",0,IF(I277="Да",G277*'⚙️ Настройки'!B15,G277*0.5))))</f>
        <v/>
      </c>
      <c r="K277" s="202">
        <f>IF(G277="","",IF(F277="User2",G277,IF(F277="User1",0,IF(I277="Да",G277*'⚙️ Настройки'!B16,G277*0.5))))</f>
        <v/>
      </c>
    </row>
    <row r="278" ht="15.75" customHeight="1" s="149">
      <c r="A278" s="209" t="n"/>
      <c r="B278" s="210">
        <f>IF(ISNUMBER(A278),YEAR(A278)&amp;"-"&amp;TEXT(MONTH(A278),"00"),"")</f>
        <v/>
      </c>
      <c r="J278" s="202">
        <f>IF(G278="","",IF(F278="User1",G278,IF(F278="User2",0,IF(I278="Да",G278*'⚙️ Настройки'!B15,G278*0.5))))</f>
        <v/>
      </c>
      <c r="K278" s="202">
        <f>IF(G278="","",IF(F278="User2",G278,IF(F278="User1",0,IF(I278="Да",G278*'⚙️ Настройки'!B16,G278*0.5))))</f>
        <v/>
      </c>
    </row>
    <row r="279" ht="15.75" customHeight="1" s="149">
      <c r="A279" s="209" t="n"/>
      <c r="B279" s="210">
        <f>IF(ISNUMBER(A279),YEAR(A279)&amp;"-"&amp;TEXT(MONTH(A279),"00"),"")</f>
        <v/>
      </c>
      <c r="J279" s="202">
        <f>IF(G279="","",IF(F279="User1",G279,IF(F279="User2",0,IF(I279="Да",G279*'⚙️ Настройки'!B15,G279*0.5))))</f>
        <v/>
      </c>
      <c r="K279" s="202">
        <f>IF(G279="","",IF(F279="User2",G279,IF(F279="User1",0,IF(I279="Да",G279*'⚙️ Настройки'!B16,G279*0.5))))</f>
        <v/>
      </c>
    </row>
    <row r="280" ht="15.75" customHeight="1" s="149">
      <c r="A280" s="209" t="n"/>
      <c r="B280" s="210">
        <f>IF(ISNUMBER(A280),YEAR(A280)&amp;"-"&amp;TEXT(MONTH(A280),"00"),"")</f>
        <v/>
      </c>
      <c r="J280" s="202">
        <f>IF(G280="","",IF(F280="User1",G280,IF(F280="User2",0,IF(I280="Да",G280*'⚙️ Настройки'!B15,G280*0.5))))</f>
        <v/>
      </c>
      <c r="K280" s="202">
        <f>IF(G280="","",IF(F280="User2",G280,IF(F280="User1",0,IF(I280="Да",G280*'⚙️ Настройки'!B16,G280*0.5))))</f>
        <v/>
      </c>
    </row>
    <row r="281" ht="15.75" customHeight="1" s="149">
      <c r="A281" s="209" t="n"/>
      <c r="B281" s="210">
        <f>IF(ISNUMBER(A281),YEAR(A281)&amp;"-"&amp;TEXT(MONTH(A281),"00"),"")</f>
        <v/>
      </c>
      <c r="J281" s="202">
        <f>IF(G281="","",IF(F281="User1",G281,IF(F281="User2",0,IF(I281="Да",G281*'⚙️ Настройки'!B15,G281*0.5))))</f>
        <v/>
      </c>
      <c r="K281" s="202">
        <f>IF(G281="","",IF(F281="User2",G281,IF(F281="User1",0,IF(I281="Да",G281*'⚙️ Настройки'!B16,G281*0.5))))</f>
        <v/>
      </c>
    </row>
    <row r="282" ht="15.75" customHeight="1" s="149">
      <c r="A282" s="209" t="n"/>
      <c r="B282" s="210">
        <f>IF(ISNUMBER(A282),YEAR(A282)&amp;"-"&amp;TEXT(MONTH(A282),"00"),"")</f>
        <v/>
      </c>
      <c r="J282" s="202">
        <f>IF(G282="","",IF(F282="User1",G282,IF(F282="User2",0,IF(I282="Да",G282*'⚙️ Настройки'!B15,G282*0.5))))</f>
        <v/>
      </c>
      <c r="K282" s="202">
        <f>IF(G282="","",IF(F282="User2",G282,IF(F282="User1",0,IF(I282="Да",G282*'⚙️ Настройки'!B16,G282*0.5))))</f>
        <v/>
      </c>
    </row>
    <row r="283" ht="15.75" customHeight="1" s="149">
      <c r="A283" s="209" t="n"/>
      <c r="B283" s="210">
        <f>IF(ISNUMBER(A283),YEAR(A283)&amp;"-"&amp;TEXT(MONTH(A283),"00"),"")</f>
        <v/>
      </c>
      <c r="J283" s="202">
        <f>IF(G283="","",IF(F283="User1",G283,IF(F283="User2",0,IF(I283="Да",G283*'⚙️ Настройки'!B15,G283*0.5))))</f>
        <v/>
      </c>
      <c r="K283" s="202">
        <f>IF(G283="","",IF(F283="User2",G283,IF(F283="User1",0,IF(I283="Да",G283*'⚙️ Настройки'!B16,G283*0.5))))</f>
        <v/>
      </c>
    </row>
    <row r="284" ht="15.75" customHeight="1" s="149">
      <c r="A284" s="209" t="n"/>
      <c r="B284" s="210">
        <f>IF(ISNUMBER(A284),YEAR(A284)&amp;"-"&amp;TEXT(MONTH(A284),"00"),"")</f>
        <v/>
      </c>
      <c r="J284" s="202">
        <f>IF(G284="","",IF(F284="User1",G284,IF(F284="User2",0,IF(I284="Да",G284*'⚙️ Настройки'!B15,G284*0.5))))</f>
        <v/>
      </c>
      <c r="K284" s="202">
        <f>IF(G284="","",IF(F284="User2",G284,IF(F284="User1",0,IF(I284="Да",G284*'⚙️ Настройки'!B16,G284*0.5))))</f>
        <v/>
      </c>
    </row>
    <row r="285" ht="15.75" customHeight="1" s="149">
      <c r="A285" s="209" t="n"/>
      <c r="B285" s="210">
        <f>IF(ISNUMBER(A285),YEAR(A285)&amp;"-"&amp;TEXT(MONTH(A285),"00"),"")</f>
        <v/>
      </c>
      <c r="J285" s="202">
        <f>IF(G285="","",IF(F285="User1",G285,IF(F285="User2",0,IF(I285="Да",G285*'⚙️ Настройки'!B15,G285*0.5))))</f>
        <v/>
      </c>
      <c r="K285" s="202">
        <f>IF(G285="","",IF(F285="User2",G285,IF(F285="User1",0,IF(I285="Да",G285*'⚙️ Настройки'!B16,G285*0.5))))</f>
        <v/>
      </c>
    </row>
    <row r="286" ht="15.75" customHeight="1" s="149">
      <c r="A286" s="209" t="n"/>
      <c r="B286" s="210">
        <f>IF(ISNUMBER(A286),YEAR(A286)&amp;"-"&amp;TEXT(MONTH(A286),"00"),"")</f>
        <v/>
      </c>
      <c r="J286" s="202">
        <f>IF(G286="","",IF(F286="User1",G286,IF(F286="User2",0,IF(I286="Да",G286*'⚙️ Настройки'!B15,G286*0.5))))</f>
        <v/>
      </c>
      <c r="K286" s="202">
        <f>IF(G286="","",IF(F286="User2",G286,IF(F286="User1",0,IF(I286="Да",G286*'⚙️ Настройки'!B16,G286*0.5))))</f>
        <v/>
      </c>
    </row>
    <row r="287" ht="15.75" customHeight="1" s="149">
      <c r="A287" s="209" t="n"/>
      <c r="B287" s="210">
        <f>IF(ISNUMBER(A287),YEAR(A287)&amp;"-"&amp;TEXT(MONTH(A287),"00"),"")</f>
        <v/>
      </c>
      <c r="J287" s="202">
        <f>IF(G287="","",IF(F287="User1",G287,IF(F287="User2",0,IF(I287="Да",G287*'⚙️ Настройки'!B15,G287*0.5))))</f>
        <v/>
      </c>
      <c r="K287" s="202">
        <f>IF(G287="","",IF(F287="User2",G287,IF(F287="User1",0,IF(I287="Да",G287*'⚙️ Настройки'!B16,G287*0.5))))</f>
        <v/>
      </c>
    </row>
    <row r="288" ht="15.75" customHeight="1" s="149">
      <c r="A288" s="209" t="n"/>
      <c r="B288" s="210">
        <f>IF(ISNUMBER(A288),YEAR(A288)&amp;"-"&amp;TEXT(MONTH(A288),"00"),"")</f>
        <v/>
      </c>
      <c r="J288" s="202">
        <f>IF(G288="","",IF(F288="User1",G288,IF(F288="User2",0,IF(I288="Да",G288*'⚙️ Настройки'!B15,G288*0.5))))</f>
        <v/>
      </c>
      <c r="K288" s="202">
        <f>IF(G288="","",IF(F288="User2",G288,IF(F288="User1",0,IF(I288="Да",G288*'⚙️ Настройки'!B16,G288*0.5))))</f>
        <v/>
      </c>
    </row>
    <row r="289" ht="15.75" customHeight="1" s="149">
      <c r="A289" s="209" t="n"/>
      <c r="B289" s="210">
        <f>IF(ISNUMBER(A289),YEAR(A289)&amp;"-"&amp;TEXT(MONTH(A289),"00"),"")</f>
        <v/>
      </c>
      <c r="J289" s="202">
        <f>IF(G289="","",IF(F289="User1",G289,IF(F289="User2",0,IF(I289="Да",G289*'⚙️ Настройки'!B15,G289*0.5))))</f>
        <v/>
      </c>
      <c r="K289" s="202">
        <f>IF(G289="","",IF(F289="User2",G289,IF(F289="User1",0,IF(I289="Да",G289*'⚙️ Настройки'!B16,G289*0.5))))</f>
        <v/>
      </c>
    </row>
    <row r="290" ht="15.75" customHeight="1" s="149">
      <c r="A290" s="209" t="n"/>
      <c r="B290" s="210">
        <f>IF(ISNUMBER(A290),YEAR(A290)&amp;"-"&amp;TEXT(MONTH(A290),"00"),"")</f>
        <v/>
      </c>
      <c r="J290" s="202">
        <f>IF(G290="","",IF(F290="User1",G290,IF(F290="User2",0,IF(I290="Да",G290*'⚙️ Настройки'!B15,G290*0.5))))</f>
        <v/>
      </c>
      <c r="K290" s="202">
        <f>IF(G290="","",IF(F290="User2",G290,IF(F290="User1",0,IF(I290="Да",G290*'⚙️ Настройки'!B16,G290*0.5))))</f>
        <v/>
      </c>
    </row>
    <row r="291" ht="15.75" customHeight="1" s="149">
      <c r="A291" s="209" t="n"/>
      <c r="B291" s="210">
        <f>IF(ISNUMBER(A291),YEAR(A291)&amp;"-"&amp;TEXT(MONTH(A291),"00"),"")</f>
        <v/>
      </c>
      <c r="J291" s="202">
        <f>IF(G291="","",IF(F291="User1",G291,IF(F291="User2",0,IF(I291="Да",G291*'⚙️ Настройки'!B15,G291*0.5))))</f>
        <v/>
      </c>
      <c r="K291" s="202">
        <f>IF(G291="","",IF(F291="User2",G291,IF(F291="User1",0,IF(I291="Да",G291*'⚙️ Настройки'!B16,G291*0.5))))</f>
        <v/>
      </c>
    </row>
    <row r="292" ht="15.75" customHeight="1" s="149">
      <c r="A292" s="209" t="n"/>
      <c r="B292" s="210">
        <f>IF(ISNUMBER(A292),YEAR(A292)&amp;"-"&amp;TEXT(MONTH(A292),"00"),"")</f>
        <v/>
      </c>
      <c r="J292" s="202">
        <f>IF(G292="","",IF(F292="User1",G292,IF(F292="User2",0,IF(I292="Да",G292*'⚙️ Настройки'!B15,G292*0.5))))</f>
        <v/>
      </c>
      <c r="K292" s="202">
        <f>IF(G292="","",IF(F292="User2",G292,IF(F292="User1",0,IF(I292="Да",G292*'⚙️ Настройки'!B16,G292*0.5))))</f>
        <v/>
      </c>
    </row>
    <row r="293" ht="15.75" customHeight="1" s="149">
      <c r="A293" s="209" t="n"/>
      <c r="B293" s="210">
        <f>IF(ISNUMBER(A293),YEAR(A293)&amp;"-"&amp;TEXT(MONTH(A293),"00"),"")</f>
        <v/>
      </c>
      <c r="J293" s="202">
        <f>IF(G293="","",IF(F293="User1",G293,IF(F293="User2",0,IF(I293="Да",G293*'⚙️ Настройки'!B15,G293*0.5))))</f>
        <v/>
      </c>
      <c r="K293" s="202">
        <f>IF(G293="","",IF(F293="User2",G293,IF(F293="User1",0,IF(I293="Да",G293*'⚙️ Настройки'!B16,G293*0.5))))</f>
        <v/>
      </c>
    </row>
    <row r="294" ht="15.75" customHeight="1" s="149">
      <c r="A294" s="209" t="n"/>
      <c r="B294" s="210">
        <f>IF(ISNUMBER(A294),YEAR(A294)&amp;"-"&amp;TEXT(MONTH(A294),"00"),"")</f>
        <v/>
      </c>
      <c r="J294" s="202">
        <f>IF(G294="","",IF(F294="User1",G294,IF(F294="User2",0,IF(I294="Да",G294*'⚙️ Настройки'!B15,G294*0.5))))</f>
        <v/>
      </c>
      <c r="K294" s="202">
        <f>IF(G294="","",IF(F294="User2",G294,IF(F294="User1",0,IF(I294="Да",G294*'⚙️ Настройки'!B16,G294*0.5))))</f>
        <v/>
      </c>
    </row>
    <row r="295" ht="15.75" customHeight="1" s="149">
      <c r="A295" s="209" t="n"/>
      <c r="B295" s="210">
        <f>IF(ISNUMBER(A295),YEAR(A295)&amp;"-"&amp;TEXT(MONTH(A295),"00"),"")</f>
        <v/>
      </c>
      <c r="J295" s="202">
        <f>IF(G295="","",IF(F295="User1",G295,IF(F295="User2",0,IF(I295="Да",G295*'⚙️ Настройки'!B15,G295*0.5))))</f>
        <v/>
      </c>
      <c r="K295" s="202">
        <f>IF(G295="","",IF(F295="User2",G295,IF(F295="User1",0,IF(I295="Да",G295*'⚙️ Настройки'!B16,G295*0.5))))</f>
        <v/>
      </c>
    </row>
    <row r="296" ht="15.75" customHeight="1" s="149">
      <c r="A296" s="209" t="n"/>
      <c r="B296" s="210">
        <f>IF(ISNUMBER(A296),YEAR(A296)&amp;"-"&amp;TEXT(MONTH(A296),"00"),"")</f>
        <v/>
      </c>
      <c r="J296" s="202">
        <f>IF(G296="","",IF(F296="User1",G296,IF(F296="User2",0,IF(I296="Да",G296*'⚙️ Настройки'!B15,G296*0.5))))</f>
        <v/>
      </c>
      <c r="K296" s="202">
        <f>IF(G296="","",IF(F296="User2",G296,IF(F296="User1",0,IF(I296="Да",G296*'⚙️ Настройки'!B16,G296*0.5))))</f>
        <v/>
      </c>
    </row>
    <row r="297" ht="15.75" customHeight="1" s="149">
      <c r="A297" s="209" t="n"/>
      <c r="B297" s="210">
        <f>IF(ISNUMBER(A297),YEAR(A297)&amp;"-"&amp;TEXT(MONTH(A297),"00"),"")</f>
        <v/>
      </c>
      <c r="J297" s="202">
        <f>IF(G297="","",IF(F297="User1",G297,IF(F297="User2",0,IF(I297="Да",G297*'⚙️ Настройки'!B15,G297*0.5))))</f>
        <v/>
      </c>
      <c r="K297" s="202">
        <f>IF(G297="","",IF(F297="User2",G297,IF(F297="User1",0,IF(I297="Да",G297*'⚙️ Настройки'!B16,G297*0.5))))</f>
        <v/>
      </c>
    </row>
    <row r="298" ht="15.75" customHeight="1" s="149">
      <c r="A298" s="209" t="n"/>
      <c r="B298" s="210">
        <f>IF(ISNUMBER(A298),YEAR(A298)&amp;"-"&amp;TEXT(MONTH(A298),"00"),"")</f>
        <v/>
      </c>
      <c r="J298" s="202">
        <f>IF(G298="","",IF(F298="User1",G298,IF(F298="User2",0,IF(I298="Да",G298*'⚙️ Настройки'!B15,G298*0.5))))</f>
        <v/>
      </c>
      <c r="K298" s="202">
        <f>IF(G298="","",IF(F298="User2",G298,IF(F298="User1",0,IF(I298="Да",G298*'⚙️ Настройки'!B16,G298*0.5))))</f>
        <v/>
      </c>
    </row>
    <row r="299" ht="15.75" customHeight="1" s="149">
      <c r="A299" s="209" t="n"/>
      <c r="B299" s="210">
        <f>IF(ISNUMBER(A299),YEAR(A299)&amp;"-"&amp;TEXT(MONTH(A299),"00"),"")</f>
        <v/>
      </c>
      <c r="J299" s="202">
        <f>IF(G299="","",IF(F299="User1",G299,IF(F299="User2",0,IF(I299="Да",G299*'⚙️ Настройки'!B15,G299*0.5))))</f>
        <v/>
      </c>
      <c r="K299" s="202">
        <f>IF(G299="","",IF(F299="User2",G299,IF(F299="User1",0,IF(I299="Да",G299*'⚙️ Настройки'!B16,G299*0.5))))</f>
        <v/>
      </c>
    </row>
    <row r="300" ht="15.75" customHeight="1" s="149">
      <c r="A300" s="209" t="n"/>
      <c r="B300" s="210">
        <f>IF(ISNUMBER(A300),YEAR(A300)&amp;"-"&amp;TEXT(MONTH(A300),"00"),"")</f>
        <v/>
      </c>
      <c r="J300" s="202">
        <f>IF(G300="","",IF(F300="User1",G300,IF(F300="User2",0,IF(I300="Да",G300*'⚙️ Настройки'!B15,G300*0.5))))</f>
        <v/>
      </c>
      <c r="K300" s="202">
        <f>IF(G300="","",IF(F300="User2",G300,IF(F300="User1",0,IF(I300="Да",G300*'⚙️ Настройки'!B16,G300*0.5))))</f>
        <v/>
      </c>
    </row>
    <row r="301" ht="15.75" customHeight="1" s="149">
      <c r="A301" s="209" t="n"/>
      <c r="B301" s="210">
        <f>IF(ISNUMBER(A301),YEAR(A301)&amp;"-"&amp;TEXT(MONTH(A301),"00"),"")</f>
        <v/>
      </c>
      <c r="J301" s="202">
        <f>IF(G301="","",IF(F301="User1",G301,IF(F301="User2",0,IF(I301="Да",G301*'⚙️ Настройки'!B15,G301*0.5))))</f>
        <v/>
      </c>
      <c r="K301" s="202">
        <f>IF(G301="","",IF(F301="User2",G301,IF(F301="User1",0,IF(I301="Да",G301*'⚙️ Настройки'!B16,G301*0.5))))</f>
        <v/>
      </c>
    </row>
    <row r="302" ht="15.75" customHeight="1" s="149">
      <c r="A302" s="209" t="n"/>
      <c r="B302" s="210">
        <f>IF(ISNUMBER(A302),YEAR(A302)&amp;"-"&amp;TEXT(MONTH(A302),"00"),"")</f>
        <v/>
      </c>
      <c r="J302" s="202">
        <f>IF(G302="","",IF(F302="User1",G302,IF(F302="User2",0,IF(I302="Да",G302*'⚙️ Настройки'!B15,G302*0.5))))</f>
        <v/>
      </c>
      <c r="K302" s="202">
        <f>IF(G302="","",IF(F302="User2",G302,IF(F302="User1",0,IF(I302="Да",G302*'⚙️ Настройки'!B16,G302*0.5))))</f>
        <v/>
      </c>
    </row>
    <row r="303" ht="15.75" customHeight="1" s="149">
      <c r="A303" s="209" t="n"/>
      <c r="B303" s="210">
        <f>IF(ISNUMBER(A303),YEAR(A303)&amp;"-"&amp;TEXT(MONTH(A303),"00"),"")</f>
        <v/>
      </c>
      <c r="J303" s="202">
        <f>IF(G303="","",IF(F303="User1",G303,IF(F303="User2",0,IF(I303="Да",G303*'⚙️ Настройки'!B15,G303*0.5))))</f>
        <v/>
      </c>
      <c r="K303" s="202">
        <f>IF(G303="","",IF(F303="User2",G303,IF(F303="User1",0,IF(I303="Да",G303*'⚙️ Настройки'!B16,G303*0.5))))</f>
        <v/>
      </c>
    </row>
    <row r="304" ht="15.75" customHeight="1" s="149">
      <c r="A304" s="209" t="n"/>
      <c r="B304" s="210">
        <f>IF(ISNUMBER(A304),YEAR(A304)&amp;"-"&amp;TEXT(MONTH(A304),"00"),"")</f>
        <v/>
      </c>
      <c r="J304" s="202">
        <f>IF(G304="","",IF(F304="User1",G304,IF(F304="User2",0,IF(I304="Да",G304*'⚙️ Настройки'!B15,G304*0.5))))</f>
        <v/>
      </c>
      <c r="K304" s="202">
        <f>IF(G304="","",IF(F304="User2",G304,IF(F304="User1",0,IF(I304="Да",G304*'⚙️ Настройки'!B16,G304*0.5))))</f>
        <v/>
      </c>
    </row>
    <row r="305" ht="15.75" customHeight="1" s="149">
      <c r="A305" s="209" t="n"/>
      <c r="B305" s="210">
        <f>IF(ISNUMBER(A305),YEAR(A305)&amp;"-"&amp;TEXT(MONTH(A305),"00"),"")</f>
        <v/>
      </c>
      <c r="J305" s="202">
        <f>IF(G305="","",IF(F305="User1",G305,IF(F305="User2",0,IF(I305="Да",G305*'⚙️ Настройки'!B15,G305*0.5))))</f>
        <v/>
      </c>
      <c r="K305" s="202">
        <f>IF(G305="","",IF(F305="User2",G305,IF(F305="User1",0,IF(I305="Да",G305*'⚙️ Настройки'!B16,G305*0.5))))</f>
        <v/>
      </c>
    </row>
    <row r="306" ht="15.75" customHeight="1" s="149">
      <c r="A306" s="209" t="n"/>
      <c r="B306" s="210">
        <f>IF(ISNUMBER(A306),YEAR(A306)&amp;"-"&amp;TEXT(MONTH(A306),"00"),"")</f>
        <v/>
      </c>
      <c r="J306" s="202">
        <f>IF(G306="","",IF(F306="User1",G306,IF(F306="User2",0,IF(I306="Да",G306*'⚙️ Настройки'!B15,G306*0.5))))</f>
        <v/>
      </c>
      <c r="K306" s="202">
        <f>IF(G306="","",IF(F306="User2",G306,IF(F306="User1",0,IF(I306="Да",G306*'⚙️ Настройки'!B16,G306*0.5))))</f>
        <v/>
      </c>
    </row>
    <row r="307" ht="15.75" customHeight="1" s="149">
      <c r="A307" s="209" t="n"/>
      <c r="B307" s="210">
        <f>IF(ISNUMBER(A307),YEAR(A307)&amp;"-"&amp;TEXT(MONTH(A307),"00"),"")</f>
        <v/>
      </c>
      <c r="J307" s="202">
        <f>IF(G307="","",IF(F307="User1",G307,IF(F307="User2",0,IF(I307="Да",G307*'⚙️ Настройки'!B15,G307*0.5))))</f>
        <v/>
      </c>
      <c r="K307" s="202">
        <f>IF(G307="","",IF(F307="User2",G307,IF(F307="User1",0,IF(I307="Да",G307*'⚙️ Настройки'!B16,G307*0.5))))</f>
        <v/>
      </c>
    </row>
    <row r="308" ht="15.75" customHeight="1" s="149">
      <c r="A308" s="209" t="n"/>
      <c r="B308" s="210">
        <f>IF(ISNUMBER(A308),YEAR(A308)&amp;"-"&amp;TEXT(MONTH(A308),"00"),"")</f>
        <v/>
      </c>
      <c r="J308" s="202">
        <f>IF(G308="","",IF(F308="User1",G308,IF(F308="User2",0,IF(I308="Да",G308*'⚙️ Настройки'!B15,G308*0.5))))</f>
        <v/>
      </c>
      <c r="K308" s="202">
        <f>IF(G308="","",IF(F308="User2",G308,IF(F308="User1",0,IF(I308="Да",G308*'⚙️ Настройки'!B16,G308*0.5))))</f>
        <v/>
      </c>
    </row>
    <row r="309" ht="15.75" customHeight="1" s="149">
      <c r="A309" s="209" t="n"/>
      <c r="B309" s="210">
        <f>IF(ISNUMBER(A309),YEAR(A309)&amp;"-"&amp;TEXT(MONTH(A309),"00"),"")</f>
        <v/>
      </c>
      <c r="J309" s="202">
        <f>IF(G309="","",IF(F309="User1",G309,IF(F309="User2",0,IF(I309="Да",G309*'⚙️ Настройки'!B15,G309*0.5))))</f>
        <v/>
      </c>
      <c r="K309" s="202">
        <f>IF(G309="","",IF(F309="User2",G309,IF(F309="User1",0,IF(I309="Да",G309*'⚙️ Настройки'!B16,G309*0.5))))</f>
        <v/>
      </c>
    </row>
    <row r="310" ht="15.75" customHeight="1" s="149">
      <c r="A310" s="209" t="n"/>
      <c r="B310" s="210">
        <f>IF(ISNUMBER(A310),YEAR(A310)&amp;"-"&amp;TEXT(MONTH(A310),"00"),"")</f>
        <v/>
      </c>
      <c r="J310" s="202">
        <f>IF(G310="","",IF(F310="User1",G310,IF(F310="User2",0,IF(I310="Да",G310*'⚙️ Настройки'!B15,G310*0.5))))</f>
        <v/>
      </c>
      <c r="K310" s="202">
        <f>IF(G310="","",IF(F310="User2",G310,IF(F310="User1",0,IF(I310="Да",G310*'⚙️ Настройки'!B16,G310*0.5))))</f>
        <v/>
      </c>
    </row>
    <row r="311" ht="15.75" customHeight="1" s="149">
      <c r="A311" s="209" t="n"/>
      <c r="B311" s="210">
        <f>IF(ISNUMBER(A311),YEAR(A311)&amp;"-"&amp;TEXT(MONTH(A311),"00"),"")</f>
        <v/>
      </c>
      <c r="J311" s="202">
        <f>IF(G311="","",IF(F311="User1",G311,IF(F311="User2",0,IF(I311="Да",G311*'⚙️ Настройки'!B15,G311*0.5))))</f>
        <v/>
      </c>
      <c r="K311" s="202">
        <f>IF(G311="","",IF(F311="User2",G311,IF(F311="User1",0,IF(I311="Да",G311*'⚙️ Настройки'!B16,G311*0.5))))</f>
        <v/>
      </c>
    </row>
    <row r="312" ht="15.75" customHeight="1" s="149">
      <c r="A312" s="209" t="n"/>
      <c r="B312" s="210">
        <f>IF(ISNUMBER(A312),YEAR(A312)&amp;"-"&amp;TEXT(MONTH(A312),"00"),"")</f>
        <v/>
      </c>
      <c r="J312" s="202">
        <f>IF(G312="","",IF(F312="User1",G312,IF(F312="User2",0,IF(I312="Да",G312*'⚙️ Настройки'!B15,G312*0.5))))</f>
        <v/>
      </c>
      <c r="K312" s="202">
        <f>IF(G312="","",IF(F312="User2",G312,IF(F312="User1",0,IF(I312="Да",G312*'⚙️ Настройки'!B16,G312*0.5))))</f>
        <v/>
      </c>
    </row>
    <row r="313" ht="15.75" customHeight="1" s="149">
      <c r="A313" s="209" t="n"/>
      <c r="B313" s="210">
        <f>IF(ISNUMBER(A313),YEAR(A313)&amp;"-"&amp;TEXT(MONTH(A313),"00"),"")</f>
        <v/>
      </c>
      <c r="J313" s="202">
        <f>IF(G313="","",IF(F313="User1",G313,IF(F313="User2",0,IF(I313="Да",G313*'⚙️ Настройки'!B15,G313*0.5))))</f>
        <v/>
      </c>
      <c r="K313" s="202">
        <f>IF(G313="","",IF(F313="User2",G313,IF(F313="User1",0,IF(I313="Да",G313*'⚙️ Настройки'!B16,G313*0.5))))</f>
        <v/>
      </c>
    </row>
    <row r="314" ht="15.75" customHeight="1" s="149">
      <c r="A314" s="209" t="n"/>
      <c r="B314" s="210">
        <f>IF(ISNUMBER(A314),YEAR(A314)&amp;"-"&amp;TEXT(MONTH(A314),"00"),"")</f>
        <v/>
      </c>
      <c r="J314" s="202">
        <f>IF(G314="","",IF(F314="User1",G314,IF(F314="User2",0,IF(I314="Да",G314*'⚙️ Настройки'!B15,G314*0.5))))</f>
        <v/>
      </c>
      <c r="K314" s="202">
        <f>IF(G314="","",IF(F314="User2",G314,IF(F314="User1",0,IF(I314="Да",G314*'⚙️ Настройки'!B16,G314*0.5))))</f>
        <v/>
      </c>
    </row>
    <row r="315" ht="15.75" customHeight="1" s="149">
      <c r="A315" s="209" t="n"/>
      <c r="B315" s="210">
        <f>IF(ISNUMBER(A315),YEAR(A315)&amp;"-"&amp;TEXT(MONTH(A315),"00"),"")</f>
        <v/>
      </c>
      <c r="J315" s="202">
        <f>IF(G315="","",IF(F315="User1",G315,IF(F315="User2",0,IF(I315="Да",G315*'⚙️ Настройки'!B15,G315*0.5))))</f>
        <v/>
      </c>
      <c r="K315" s="202">
        <f>IF(G315="","",IF(F315="User2",G315,IF(F315="User1",0,IF(I315="Да",G315*'⚙️ Настройки'!B16,G315*0.5))))</f>
        <v/>
      </c>
    </row>
    <row r="316" ht="15.75" customHeight="1" s="149">
      <c r="A316" s="209" t="n"/>
      <c r="B316" s="210">
        <f>IF(ISNUMBER(A316),YEAR(A316)&amp;"-"&amp;TEXT(MONTH(A316),"00"),"")</f>
        <v/>
      </c>
      <c r="J316" s="202">
        <f>IF(G316="","",IF(F316="User1",G316,IF(F316="User2",0,IF(I316="Да",G316*'⚙️ Настройки'!B15,G316*0.5))))</f>
        <v/>
      </c>
      <c r="K316" s="202">
        <f>IF(G316="","",IF(F316="User2",G316,IF(F316="User1",0,IF(I316="Да",G316*'⚙️ Настройки'!B16,G316*0.5))))</f>
        <v/>
      </c>
    </row>
    <row r="317" ht="15.75" customHeight="1" s="149">
      <c r="A317" s="209" t="n"/>
      <c r="B317" s="210">
        <f>IF(ISNUMBER(A317),YEAR(A317)&amp;"-"&amp;TEXT(MONTH(A317),"00"),"")</f>
        <v/>
      </c>
      <c r="J317" s="202">
        <f>IF(G317="","",IF(F317="User1",G317,IF(F317="User2",0,IF(I317="Да",G317*'⚙️ Настройки'!B15,G317*0.5))))</f>
        <v/>
      </c>
      <c r="K317" s="202">
        <f>IF(G317="","",IF(F317="User2",G317,IF(F317="User1",0,IF(I317="Да",G317*'⚙️ Настройки'!B16,G317*0.5))))</f>
        <v/>
      </c>
    </row>
    <row r="318" ht="15.75" customHeight="1" s="149">
      <c r="A318" s="209" t="n"/>
      <c r="B318" s="210">
        <f>IF(ISNUMBER(A318),YEAR(A318)&amp;"-"&amp;TEXT(MONTH(A318),"00"),"")</f>
        <v/>
      </c>
      <c r="J318" s="202">
        <f>IF(G318="","",IF(F318="User1",G318,IF(F318="User2",0,IF(I318="Да",G318*'⚙️ Настройки'!B15,G318*0.5))))</f>
        <v/>
      </c>
      <c r="K318" s="202">
        <f>IF(G318="","",IF(F318="User2",G318,IF(F318="User1",0,IF(I318="Да",G318*'⚙️ Настройки'!B16,G318*0.5))))</f>
        <v/>
      </c>
    </row>
    <row r="319" ht="15.75" customHeight="1" s="149">
      <c r="A319" s="209" t="n"/>
      <c r="B319" s="210">
        <f>IF(ISNUMBER(A319),YEAR(A319)&amp;"-"&amp;TEXT(MONTH(A319),"00"),"")</f>
        <v/>
      </c>
      <c r="J319" s="202">
        <f>IF(G319="","",IF(F319="User1",G319,IF(F319="User2",0,IF(I319="Да",G319*'⚙️ Настройки'!B15,G319*0.5))))</f>
        <v/>
      </c>
      <c r="K319" s="202">
        <f>IF(G319="","",IF(F319="User2",G319,IF(F319="User1",0,IF(I319="Да",G319*'⚙️ Настройки'!B16,G319*0.5))))</f>
        <v/>
      </c>
    </row>
    <row r="320" ht="15.75" customHeight="1" s="149">
      <c r="A320" s="209" t="n"/>
      <c r="B320" s="210">
        <f>IF(ISNUMBER(A320),YEAR(A320)&amp;"-"&amp;TEXT(MONTH(A320),"00"),"")</f>
        <v/>
      </c>
      <c r="J320" s="202">
        <f>IF(G320="","",IF(F320="User1",G320,IF(F320="User2",0,IF(I320="Да",G320*'⚙️ Настройки'!B15,G320*0.5))))</f>
        <v/>
      </c>
      <c r="K320" s="202">
        <f>IF(G320="","",IF(F320="User2",G320,IF(F320="User1",0,IF(I320="Да",G320*'⚙️ Настройки'!B16,G320*0.5))))</f>
        <v/>
      </c>
    </row>
    <row r="321" ht="15.75" customHeight="1" s="149">
      <c r="A321" s="209" t="n"/>
      <c r="B321" s="210">
        <f>IF(ISNUMBER(A321),YEAR(A321)&amp;"-"&amp;TEXT(MONTH(A321),"00"),"")</f>
        <v/>
      </c>
      <c r="J321" s="202">
        <f>IF(G321="","",IF(F321="User1",G321,IF(F321="User2",0,IF(I321="Да",G321*'⚙️ Настройки'!B15,G321*0.5))))</f>
        <v/>
      </c>
      <c r="K321" s="202">
        <f>IF(G321="","",IF(F321="User2",G321,IF(F321="User1",0,IF(I321="Да",G321*'⚙️ Настройки'!B16,G321*0.5))))</f>
        <v/>
      </c>
    </row>
    <row r="322" ht="15.75" customHeight="1" s="149">
      <c r="A322" s="209" t="n"/>
      <c r="B322" s="210">
        <f>IF(ISNUMBER(A322),YEAR(A322)&amp;"-"&amp;TEXT(MONTH(A322),"00"),"")</f>
        <v/>
      </c>
      <c r="J322" s="202">
        <f>IF(G322="","",IF(F322="User1",G322,IF(F322="User2",0,IF(I322="Да",G322*'⚙️ Настройки'!B15,G322*0.5))))</f>
        <v/>
      </c>
      <c r="K322" s="202">
        <f>IF(G322="","",IF(F322="User2",G322,IF(F322="User1",0,IF(I322="Да",G322*'⚙️ Настройки'!B16,G322*0.5))))</f>
        <v/>
      </c>
    </row>
    <row r="323" ht="15.75" customHeight="1" s="149">
      <c r="A323" s="209" t="n"/>
      <c r="B323" s="210">
        <f>IF(ISNUMBER(A323),YEAR(A323)&amp;"-"&amp;TEXT(MONTH(A323),"00"),"")</f>
        <v/>
      </c>
      <c r="J323" s="202">
        <f>IF(G323="","",IF(F323="User1",G323,IF(F323="User2",0,IF(I323="Да",G323*'⚙️ Настройки'!B15,G323*0.5))))</f>
        <v/>
      </c>
      <c r="K323" s="202">
        <f>IF(G323="","",IF(F323="User2",G323,IF(F323="User1",0,IF(I323="Да",G323*'⚙️ Настройки'!B16,G323*0.5))))</f>
        <v/>
      </c>
    </row>
    <row r="324" ht="15.75" customHeight="1" s="149">
      <c r="A324" s="209" t="n"/>
      <c r="B324" s="210">
        <f>IF(ISNUMBER(A324),YEAR(A324)&amp;"-"&amp;TEXT(MONTH(A324),"00"),"")</f>
        <v/>
      </c>
      <c r="J324" s="202">
        <f>IF(G324="","",IF(F324="User1",G324,IF(F324="User2",0,IF(I324="Да",G324*'⚙️ Настройки'!B15,G324*0.5))))</f>
        <v/>
      </c>
      <c r="K324" s="202">
        <f>IF(G324="","",IF(F324="User2",G324,IF(F324="User1",0,IF(I324="Да",G324*'⚙️ Настройки'!B16,G324*0.5))))</f>
        <v/>
      </c>
    </row>
    <row r="325" ht="15.75" customHeight="1" s="149">
      <c r="A325" s="209" t="n"/>
      <c r="B325" s="210">
        <f>IF(ISNUMBER(A325),YEAR(A325)&amp;"-"&amp;TEXT(MONTH(A325),"00"),"")</f>
        <v/>
      </c>
      <c r="J325" s="202">
        <f>IF(G325="","",IF(F325="User1",G325,IF(F325="User2",0,IF(I325="Да",G325*'⚙️ Настройки'!B15,G325*0.5))))</f>
        <v/>
      </c>
      <c r="K325" s="202">
        <f>IF(G325="","",IF(F325="User2",G325,IF(F325="User1",0,IF(I325="Да",G325*'⚙️ Настройки'!B16,G325*0.5))))</f>
        <v/>
      </c>
    </row>
    <row r="326" ht="15.75" customHeight="1" s="149">
      <c r="A326" s="209" t="n"/>
      <c r="B326" s="210">
        <f>IF(ISNUMBER(A326),YEAR(A326)&amp;"-"&amp;TEXT(MONTH(A326),"00"),"")</f>
        <v/>
      </c>
      <c r="J326" s="202">
        <f>IF(G326="","",IF(F326="User1",G326,IF(F326="User2",0,IF(I326="Да",G326*'⚙️ Настройки'!B15,G326*0.5))))</f>
        <v/>
      </c>
      <c r="K326" s="202">
        <f>IF(G326="","",IF(F326="User2",G326,IF(F326="User1",0,IF(I326="Да",G326*'⚙️ Настройки'!B16,G326*0.5))))</f>
        <v/>
      </c>
    </row>
    <row r="327" ht="15.75" customHeight="1" s="149">
      <c r="A327" s="209" t="n"/>
      <c r="B327" s="210">
        <f>IF(ISNUMBER(A327),YEAR(A327)&amp;"-"&amp;TEXT(MONTH(A327),"00"),"")</f>
        <v/>
      </c>
      <c r="J327" s="202">
        <f>IF(G327="","",IF(F327="User1",G327,IF(F327="User2",0,IF(I327="Да",G327*'⚙️ Настройки'!B15,G327*0.5))))</f>
        <v/>
      </c>
      <c r="K327" s="202">
        <f>IF(G327="","",IF(F327="User2",G327,IF(F327="User1",0,IF(I327="Да",G327*'⚙️ Настройки'!B16,G327*0.5))))</f>
        <v/>
      </c>
    </row>
    <row r="328" ht="15.75" customHeight="1" s="149">
      <c r="A328" s="209" t="n"/>
      <c r="B328" s="210">
        <f>IF(ISNUMBER(A328),YEAR(A328)&amp;"-"&amp;TEXT(MONTH(A328),"00"),"")</f>
        <v/>
      </c>
      <c r="J328" s="202">
        <f>IF(G328="","",IF(F328="User1",G328,IF(F328="User2",0,IF(I328="Да",G328*'⚙️ Настройки'!B15,G328*0.5))))</f>
        <v/>
      </c>
      <c r="K328" s="202">
        <f>IF(G328="","",IF(F328="User2",G328,IF(F328="User1",0,IF(I328="Да",G328*'⚙️ Настройки'!B16,G328*0.5))))</f>
        <v/>
      </c>
    </row>
    <row r="329" ht="15.75" customHeight="1" s="149">
      <c r="A329" s="209" t="n"/>
      <c r="B329" s="210">
        <f>IF(ISNUMBER(A329),YEAR(A329)&amp;"-"&amp;TEXT(MONTH(A329),"00"),"")</f>
        <v/>
      </c>
      <c r="J329" s="202">
        <f>IF(G329="","",IF(F329="User1",G329,IF(F329="User2",0,IF(I329="Да",G329*'⚙️ Настройки'!B15,G329*0.5))))</f>
        <v/>
      </c>
      <c r="K329" s="202">
        <f>IF(G329="","",IF(F329="User2",G329,IF(F329="User1",0,IF(I329="Да",G329*'⚙️ Настройки'!B16,G329*0.5))))</f>
        <v/>
      </c>
    </row>
    <row r="330" ht="15.75" customHeight="1" s="149">
      <c r="A330" s="209" t="n"/>
      <c r="B330" s="210">
        <f>IF(ISNUMBER(A330),YEAR(A330)&amp;"-"&amp;TEXT(MONTH(A330),"00"),"")</f>
        <v/>
      </c>
      <c r="J330" s="202">
        <f>IF(G330="","",IF(F330="User1",G330,IF(F330="User2",0,IF(I330="Да",G330*'⚙️ Настройки'!B15,G330*0.5))))</f>
        <v/>
      </c>
      <c r="K330" s="202">
        <f>IF(G330="","",IF(F330="User2",G330,IF(F330="User1",0,IF(I330="Да",G330*'⚙️ Настройки'!B16,G330*0.5))))</f>
        <v/>
      </c>
    </row>
    <row r="331" ht="15.75" customHeight="1" s="149">
      <c r="A331" s="209" t="n"/>
      <c r="B331" s="210">
        <f>IF(ISNUMBER(A331),YEAR(A331)&amp;"-"&amp;TEXT(MONTH(A331),"00"),"")</f>
        <v/>
      </c>
      <c r="J331" s="202">
        <f>IF(G331="","",IF(F331="User1",G331,IF(F331="User2",0,IF(I331="Да",G331*'⚙️ Настройки'!B15,G331*0.5))))</f>
        <v/>
      </c>
      <c r="K331" s="202">
        <f>IF(G331="","",IF(F331="User2",G331,IF(F331="User1",0,IF(I331="Да",G331*'⚙️ Настройки'!B16,G331*0.5))))</f>
        <v/>
      </c>
    </row>
    <row r="332" ht="15.75" customHeight="1" s="149">
      <c r="A332" s="209" t="n"/>
      <c r="B332" s="210">
        <f>IF(ISNUMBER(A332),YEAR(A332)&amp;"-"&amp;TEXT(MONTH(A332),"00"),"")</f>
        <v/>
      </c>
      <c r="J332" s="202">
        <f>IF(G332="","",IF(F332="User1",G332,IF(F332="User2",0,IF(I332="Да",G332*'⚙️ Настройки'!B15,G332*0.5))))</f>
        <v/>
      </c>
      <c r="K332" s="202">
        <f>IF(G332="","",IF(F332="User2",G332,IF(F332="User1",0,IF(I332="Да",G332*'⚙️ Настройки'!B16,G332*0.5))))</f>
        <v/>
      </c>
    </row>
    <row r="333" ht="15.75" customHeight="1" s="149">
      <c r="A333" s="209" t="n"/>
      <c r="B333" s="210">
        <f>IF(ISNUMBER(A333),YEAR(A333)&amp;"-"&amp;TEXT(MONTH(A333),"00"),"")</f>
        <v/>
      </c>
      <c r="J333" s="202">
        <f>IF(G333="","",IF(F333="User1",G333,IF(F333="User2",0,IF(I333="Да",G333*'⚙️ Настройки'!B15,G333*0.5))))</f>
        <v/>
      </c>
      <c r="K333" s="202">
        <f>IF(G333="","",IF(F333="User2",G333,IF(F333="User1",0,IF(I333="Да",G333*'⚙️ Настройки'!B16,G333*0.5))))</f>
        <v/>
      </c>
    </row>
    <row r="334" ht="15.75" customHeight="1" s="149">
      <c r="A334" s="209" t="n"/>
      <c r="B334" s="190">
        <f>IF(ISNUMBER(A334),YEAR(A334)&amp;"-"&amp;TEXT(MONTH(A334),"00"),"")</f>
        <v/>
      </c>
      <c r="J334" s="202">
        <f>IF(G334="","",IF(F334="User1",G334,IF(F334="User2",0,IF(I334="Да",G334*'⚙️ Настройки'!B15,G334*0.5))))</f>
        <v/>
      </c>
      <c r="K334" s="202">
        <f>IF(G334="","",IF(F334="User2",G334,IF(F334="User1",0,IF(I334="Да",G334*'⚙️ Настройки'!B16,G334*0.5))))</f>
        <v/>
      </c>
    </row>
    <row r="335" ht="15.75" customHeight="1" s="149">
      <c r="A335" s="209" t="n"/>
      <c r="B335" s="190">
        <f>IF(ISNUMBER(A335),YEAR(A335)&amp;"-"&amp;TEXT(MONTH(A335),"00"),"")</f>
        <v/>
      </c>
      <c r="J335" s="202">
        <f>IF(G335="","",IF(F335="User1",G335,IF(F335="User2",0,IF(I335="Да",G335*'⚙️ Настройки'!B15,G335*0.5))))</f>
        <v/>
      </c>
      <c r="K335" s="202">
        <f>IF(G335="","",IF(F335="User2",G335,IF(F335="User1",0,IF(I335="Да",G335*'⚙️ Настройки'!B16,G335*0.5))))</f>
        <v/>
      </c>
    </row>
    <row r="336" ht="15.75" customHeight="1" s="149">
      <c r="A336" s="209" t="n"/>
      <c r="B336" s="190">
        <f>IF(ISNUMBER(A336),YEAR(A336)&amp;"-"&amp;TEXT(MONTH(A336),"00"),"")</f>
        <v/>
      </c>
      <c r="J336" s="202">
        <f>IF(G336="","",IF(F336="User1",G336,IF(F336="User2",0,IF(I336="Да",G336*'⚙️ Настройки'!B15,G336*0.5))))</f>
        <v/>
      </c>
      <c r="K336" s="202">
        <f>IF(G336="","",IF(F336="User2",G336,IF(F336="User1",0,IF(I336="Да",G336*'⚙️ Настройки'!B16,G336*0.5))))</f>
        <v/>
      </c>
    </row>
    <row r="337" ht="15.75" customHeight="1" s="149">
      <c r="A337" s="209" t="n"/>
      <c r="B337" s="190">
        <f>IF(ISNUMBER(A337),YEAR(A337)&amp;"-"&amp;TEXT(MONTH(A337),"00"),"")</f>
        <v/>
      </c>
      <c r="J337" s="202">
        <f>IF(G337="","",IF(F337="User1",G337,IF(F337="User2",0,IF(I337="Да",G337*'⚙️ Настройки'!B15,G337*0.5))))</f>
        <v/>
      </c>
      <c r="K337" s="202">
        <f>IF(G337="","",IF(F337="User2",G337,IF(F337="User1",0,IF(I337="Да",G337*'⚙️ Настройки'!B16,G337*0.5))))</f>
        <v/>
      </c>
    </row>
    <row r="338" ht="15.75" customHeight="1" s="149">
      <c r="A338" s="209" t="n"/>
      <c r="B338" s="190">
        <f>IF(ISNUMBER(A338),YEAR(A338)&amp;"-"&amp;TEXT(MONTH(A338),"00"),"")</f>
        <v/>
      </c>
      <c r="J338" s="202">
        <f>IF(G338="","",IF(F338="User1",G338,IF(F338="User2",0,IF(I338="Да",G338*'⚙️ Настройки'!B15,G338*0.5))))</f>
        <v/>
      </c>
      <c r="K338" s="202">
        <f>IF(G338="","",IF(F338="User2",G338,IF(F338="User1",0,IF(I338="Да",G338*'⚙️ Настройки'!B16,G338*0.5))))</f>
        <v/>
      </c>
    </row>
    <row r="339" ht="15.75" customHeight="1" s="149">
      <c r="A339" s="209" t="n"/>
      <c r="B339" s="190">
        <f>IF(ISNUMBER(A339),YEAR(A339)&amp;"-"&amp;TEXT(MONTH(A339),"00"),"")</f>
        <v/>
      </c>
      <c r="J339" s="202">
        <f>IF(G339="","",IF(F339="User1",G339,IF(F339="User2",0,IF(I339="Да",G339*'⚙️ Настройки'!B15,G339*0.5))))</f>
        <v/>
      </c>
      <c r="K339" s="202">
        <f>IF(G339="","",IF(F339="User2",G339,IF(F339="User1",0,IF(I339="Да",G339*'⚙️ Настройки'!B16,G339*0.5))))</f>
        <v/>
      </c>
    </row>
    <row r="340" ht="15.75" customHeight="1" s="149">
      <c r="A340" s="209" t="n"/>
      <c r="B340" s="190">
        <f>IF(ISNUMBER(A340),YEAR(A340)&amp;"-"&amp;TEXT(MONTH(A340),"00"),"")</f>
        <v/>
      </c>
      <c r="J340" s="202">
        <f>IF(G340="","",IF(F340="User1",G340,IF(F340="User2",0,IF(I340="Да",G340*'⚙️ Настройки'!B15,G340*0.5))))</f>
        <v/>
      </c>
      <c r="K340" s="202">
        <f>IF(G340="","",IF(F340="User2",G340,IF(F340="User1",0,IF(I340="Да",G340*'⚙️ Настройки'!B16,G340*0.5))))</f>
        <v/>
      </c>
    </row>
    <row r="341" ht="15.75" customHeight="1" s="149">
      <c r="A341" s="209" t="n"/>
      <c r="B341" s="190">
        <f>IF(ISNUMBER(A341),YEAR(A341)&amp;"-"&amp;TEXT(MONTH(A341),"00"),"")</f>
        <v/>
      </c>
      <c r="J341" s="202">
        <f>IF(G341="","",IF(F341="User1",G341,IF(F341="User2",0,IF(I341="Да",G341*'⚙️ Настройки'!B15,G341*0.5))))</f>
        <v/>
      </c>
      <c r="K341" s="202">
        <f>IF(G341="","",IF(F341="User2",G341,IF(F341="User1",0,IF(I341="Да",G341*'⚙️ Настройки'!B16,G341*0.5))))</f>
        <v/>
      </c>
    </row>
    <row r="342" ht="15.75" customHeight="1" s="149">
      <c r="A342" s="209" t="n"/>
      <c r="B342" s="190">
        <f>IF(ISNUMBER(A342),YEAR(A342)&amp;"-"&amp;TEXT(MONTH(A342),"00"),"")</f>
        <v/>
      </c>
      <c r="J342" s="202">
        <f>IF(G342="","",IF(F342="User1",G342,IF(F342="User2",0,IF(I342="Да",G342*'⚙️ Настройки'!B15,G342*0.5))))</f>
        <v/>
      </c>
      <c r="K342" s="202">
        <f>IF(G342="","",IF(F342="User2",G342,IF(F342="User1",0,IF(I342="Да",G342*'⚙️ Настройки'!B16,G342*0.5))))</f>
        <v/>
      </c>
    </row>
    <row r="343" ht="15.75" customHeight="1" s="149">
      <c r="A343" s="209" t="n"/>
      <c r="B343" s="190">
        <f>IF(ISNUMBER(A343),YEAR(A343)&amp;"-"&amp;TEXT(MONTH(A343),"00"),"")</f>
        <v/>
      </c>
      <c r="J343" s="202">
        <f>IF(G343="","",IF(F343="User1",G343,IF(F343="User2",0,IF(I343="Да",G343*'⚙️ Настройки'!B15,G343*0.5))))</f>
        <v/>
      </c>
      <c r="K343" s="202">
        <f>IF(G343="","",IF(F343="User2",G343,IF(F343="User1",0,IF(I343="Да",G343*'⚙️ Настройки'!B16,G343*0.5))))</f>
        <v/>
      </c>
    </row>
    <row r="344" ht="15.75" customHeight="1" s="149">
      <c r="A344" s="209" t="n"/>
      <c r="B344" s="190">
        <f>IF(ISNUMBER(A344),YEAR(A344)&amp;"-"&amp;TEXT(MONTH(A344),"00"),"")</f>
        <v/>
      </c>
      <c r="J344" s="202">
        <f>IF(G344="","",IF(F344="User1",G344,IF(F344="User2",0,IF(I344="Да",G344*'⚙️ Настройки'!B15,G344*0.5))))</f>
        <v/>
      </c>
      <c r="K344" s="202">
        <f>IF(G344="","",IF(F344="User2",G344,IF(F344="User1",0,IF(I344="Да",G344*'⚙️ Настройки'!B16,G344*0.5))))</f>
        <v/>
      </c>
    </row>
    <row r="345" ht="15.75" customHeight="1" s="149">
      <c r="A345" s="209" t="n"/>
      <c r="B345" s="190">
        <f>IF(ISNUMBER(A345),YEAR(A345)&amp;"-"&amp;TEXT(MONTH(A345),"00"),"")</f>
        <v/>
      </c>
      <c r="J345" s="202">
        <f>IF(G345="","",IF(F345="User1",G345,IF(F345="User2",0,IF(I345="Да",G345*'⚙️ Настройки'!B15,G345*0.5))))</f>
        <v/>
      </c>
      <c r="K345" s="202">
        <f>IF(G345="","",IF(F345="User2",G345,IF(F345="User1",0,IF(I345="Да",G345*'⚙️ Настройки'!B16,G345*0.5))))</f>
        <v/>
      </c>
    </row>
    <row r="346" ht="15.75" customHeight="1" s="149">
      <c r="A346" s="209" t="n"/>
      <c r="B346" s="190">
        <f>IF(ISNUMBER(A346),YEAR(A346)&amp;"-"&amp;TEXT(MONTH(A346),"00"),"")</f>
        <v/>
      </c>
      <c r="J346" s="202">
        <f>IF(G346="","",IF(F346="User1",G346,IF(F346="User2",0,IF(I346="Да",G346*'⚙️ Настройки'!B15,G346*0.5))))</f>
        <v/>
      </c>
      <c r="K346" s="202">
        <f>IF(G346="","",IF(F346="User2",G346,IF(F346="User1",0,IF(I346="Да",G346*'⚙️ Настройки'!B16,G346*0.5))))</f>
        <v/>
      </c>
    </row>
    <row r="347" ht="15.75" customHeight="1" s="149">
      <c r="A347" s="209" t="n"/>
      <c r="B347" s="190">
        <f>IF(ISNUMBER(A347),YEAR(A347)&amp;"-"&amp;TEXT(MONTH(A347),"00"),"")</f>
        <v/>
      </c>
      <c r="J347" s="202">
        <f>IF(G347="","",IF(F347="User1",G347,IF(F347="User2",0,IF(I347="Да",G347*'⚙️ Настройки'!B15,G347*0.5))))</f>
        <v/>
      </c>
      <c r="K347" s="202">
        <f>IF(G347="","",IF(F347="User2",G347,IF(F347="User1",0,IF(I347="Да",G347*'⚙️ Настройки'!B16,G347*0.5))))</f>
        <v/>
      </c>
    </row>
    <row r="348" ht="15.75" customHeight="1" s="149">
      <c r="A348" s="209" t="n"/>
      <c r="B348" s="190">
        <f>IF(ISNUMBER(A348),YEAR(A348)&amp;"-"&amp;TEXT(MONTH(A348),"00"),"")</f>
        <v/>
      </c>
      <c r="J348" s="202">
        <f>IF(G348="","",IF(F348="User1",G348,IF(F348="User2",0,IF(I348="Да",G348*'⚙️ Настройки'!B15,G348*0.5))))</f>
        <v/>
      </c>
      <c r="K348" s="202">
        <f>IF(G348="","",IF(F348="User2",G348,IF(F348="User1",0,IF(I348="Да",G348*'⚙️ Настройки'!B16,G348*0.5))))</f>
        <v/>
      </c>
    </row>
    <row r="349" ht="15.75" customHeight="1" s="149">
      <c r="A349" s="209" t="n"/>
      <c r="B349" s="190">
        <f>IF(ISNUMBER(A349),YEAR(A349)&amp;"-"&amp;TEXT(MONTH(A349),"00"),"")</f>
        <v/>
      </c>
      <c r="J349" s="202">
        <f>IF(G349="","",IF(F349="User1",G349,IF(F349="User2",0,IF(I349="Да",G349*'⚙️ Настройки'!B15,G349*0.5))))</f>
        <v/>
      </c>
      <c r="K349" s="202">
        <f>IF(G349="","",IF(F349="User2",G349,IF(F349="User1",0,IF(I349="Да",G349*'⚙️ Настройки'!B16,G349*0.5))))</f>
        <v/>
      </c>
    </row>
    <row r="350" ht="15.75" customHeight="1" s="149">
      <c r="A350" s="209" t="n"/>
      <c r="B350" s="190">
        <f>IF(ISNUMBER(A350),YEAR(A350)&amp;"-"&amp;TEXT(MONTH(A350),"00"),"")</f>
        <v/>
      </c>
      <c r="J350" s="202">
        <f>IF(G350="","",IF(F350="User1",G350,IF(F350="User2",0,IF(I350="Да",G350*'⚙️ Настройки'!B15,G350*0.5))))</f>
        <v/>
      </c>
      <c r="K350" s="202">
        <f>IF(G350="","",IF(F350="User2",G350,IF(F350="User1",0,IF(I350="Да",G350*'⚙️ Настройки'!B16,G350*0.5))))</f>
        <v/>
      </c>
    </row>
    <row r="351" ht="15.75" customHeight="1" s="149">
      <c r="A351" s="209" t="n"/>
      <c r="B351" s="190">
        <f>IF(ISNUMBER(A351),YEAR(A351)&amp;"-"&amp;TEXT(MONTH(A351),"00"),"")</f>
        <v/>
      </c>
      <c r="J351" s="202">
        <f>IF(G351="","",IF(F351="User1",G351,IF(F351="User2",0,IF(I351="Да",G351*'⚙️ Настройки'!B15,G351*0.5))))</f>
        <v/>
      </c>
      <c r="K351" s="202">
        <f>IF(G351="","",IF(F351="User2",G351,IF(F351="User1",0,IF(I351="Да",G351*'⚙️ Настройки'!B16,G351*0.5))))</f>
        <v/>
      </c>
    </row>
    <row r="352" ht="15.75" customHeight="1" s="149">
      <c r="A352" s="209" t="n"/>
      <c r="B352" s="190">
        <f>IF(ISNUMBER(A352),YEAR(A352)&amp;"-"&amp;TEXT(MONTH(A352),"00"),"")</f>
        <v/>
      </c>
      <c r="J352" s="202">
        <f>IF(G352="","",IF(F352="User1",G352,IF(F352="User2",0,IF(I352="Да",G352*'⚙️ Настройки'!B15,G352*0.5))))</f>
        <v/>
      </c>
      <c r="K352" s="202">
        <f>IF(G352="","",IF(F352="User2",G352,IF(F352="User1",0,IF(I352="Да",G352*'⚙️ Настройки'!B16,G352*0.5))))</f>
        <v/>
      </c>
    </row>
    <row r="353" ht="15.75" customHeight="1" s="149">
      <c r="A353" s="209" t="n"/>
      <c r="B353" s="190">
        <f>IF(ISNUMBER(A353),YEAR(A353)&amp;"-"&amp;TEXT(MONTH(A353),"00"),"")</f>
        <v/>
      </c>
      <c r="J353" s="202">
        <f>IF(G353="","",IF(F353="User1",G353,IF(F353="User2",0,IF(I353="Да",G353*'⚙️ Настройки'!B15,G353*0.5))))</f>
        <v/>
      </c>
      <c r="K353" s="202">
        <f>IF(G353="","",IF(F353="User2",G353,IF(F353="User1",0,IF(I353="Да",G353*'⚙️ Настройки'!B16,G353*0.5))))</f>
        <v/>
      </c>
    </row>
    <row r="354" ht="15.75" customHeight="1" s="149">
      <c r="A354" s="209" t="n"/>
      <c r="B354" s="190">
        <f>IF(ISNUMBER(A354),YEAR(A354)&amp;"-"&amp;TEXT(MONTH(A354),"00"),"")</f>
        <v/>
      </c>
      <c r="J354" s="202">
        <f>IF(G354="","",IF(F354="User1",G354,IF(F354="User2",0,IF(I354="Да",G354*'⚙️ Настройки'!B15,G354*0.5))))</f>
        <v/>
      </c>
      <c r="K354" s="202">
        <f>IF(G354="","",IF(F354="User2",G354,IF(F354="User1",0,IF(I354="Да",G354*'⚙️ Настройки'!B16,G354*0.5))))</f>
        <v/>
      </c>
    </row>
    <row r="355" ht="15.75" customHeight="1" s="149">
      <c r="A355" s="209" t="n"/>
      <c r="B355" s="190">
        <f>IF(ISNUMBER(A355),YEAR(A355)&amp;"-"&amp;TEXT(MONTH(A355),"00"),"")</f>
        <v/>
      </c>
      <c r="J355" s="202">
        <f>IF(G355="","",IF(F355="User1",G355,IF(F355="User2",0,IF(I355="Да",G355*'⚙️ Настройки'!B15,G355*0.5))))</f>
        <v/>
      </c>
      <c r="K355" s="202">
        <f>IF(G355="","",IF(F355="User2",G355,IF(F355="User1",0,IF(I355="Да",G355*'⚙️ Настройки'!B16,G355*0.5))))</f>
        <v/>
      </c>
    </row>
    <row r="356" ht="15.75" customHeight="1" s="149">
      <c r="A356" s="209" t="n"/>
      <c r="B356" s="190">
        <f>IF(ISNUMBER(A356),YEAR(A356)&amp;"-"&amp;TEXT(MONTH(A356),"00"),"")</f>
        <v/>
      </c>
      <c r="J356" s="202">
        <f>IF(G356="","",IF(F356="User1",G356,IF(F356="User2",0,IF(I356="Да",G356*'⚙️ Настройки'!B15,G356*0.5))))</f>
        <v/>
      </c>
      <c r="K356" s="202">
        <f>IF(G356="","",IF(F356="User2",G356,IF(F356="User1",0,IF(I356="Да",G356*'⚙️ Настройки'!B16,G356*0.5))))</f>
        <v/>
      </c>
    </row>
    <row r="357" ht="15.75" customHeight="1" s="149">
      <c r="A357" s="209" t="n"/>
      <c r="B357" s="190">
        <f>IF(ISNUMBER(A357),YEAR(A357)&amp;"-"&amp;TEXT(MONTH(A357),"00"),"")</f>
        <v/>
      </c>
      <c r="J357" s="202">
        <f>IF(G357="","",IF(F357="User1",G357,IF(F357="User2",0,IF(I357="Да",G357*'⚙️ Настройки'!B15,G357*0.5))))</f>
        <v/>
      </c>
      <c r="K357" s="202">
        <f>IF(G357="","",IF(F357="User2",G357,IF(F357="User1",0,IF(I357="Да",G357*'⚙️ Настройки'!B16,G357*0.5))))</f>
        <v/>
      </c>
    </row>
    <row r="358" ht="15.75" customHeight="1" s="149">
      <c r="A358" s="209" t="n"/>
      <c r="B358" s="190">
        <f>IF(ISNUMBER(A358),YEAR(A358)&amp;"-"&amp;TEXT(MONTH(A358),"00"),"")</f>
        <v/>
      </c>
      <c r="J358" s="202">
        <f>IF(G358="","",IF(F358="User1",G358,IF(F358="User2",0,IF(I358="Да",G358*'⚙️ Настройки'!B15,G358*0.5))))</f>
        <v/>
      </c>
      <c r="K358" s="202">
        <f>IF(G358="","",IF(F358="User2",G358,IF(F358="User1",0,IF(I358="Да",G358*'⚙️ Настройки'!B16,G358*0.5))))</f>
        <v/>
      </c>
    </row>
    <row r="359" ht="15.75" customHeight="1" s="149">
      <c r="A359" s="209" t="n"/>
      <c r="B359" s="190">
        <f>IF(ISNUMBER(A359),YEAR(A359)&amp;"-"&amp;TEXT(MONTH(A359),"00"),"")</f>
        <v/>
      </c>
      <c r="J359" s="202">
        <f>IF(G359="","",IF(F359="User1",G359,IF(F359="User2",0,IF(I359="Да",G359*'⚙️ Настройки'!B15,G359*0.5))))</f>
        <v/>
      </c>
      <c r="K359" s="202">
        <f>IF(G359="","",IF(F359="User2",G359,IF(F359="User1",0,IF(I359="Да",G359*'⚙️ Настройки'!B16,G359*0.5))))</f>
        <v/>
      </c>
    </row>
    <row r="360" ht="15.75" customHeight="1" s="149">
      <c r="A360" s="209" t="n"/>
      <c r="B360" s="190">
        <f>IF(ISNUMBER(A360),YEAR(A360)&amp;"-"&amp;TEXT(MONTH(A360),"00"),"")</f>
        <v/>
      </c>
      <c r="J360" s="202">
        <f>IF(G360="","",IF(F360="User1",G360,IF(F360="User2",0,IF(I360="Да",G360*'⚙️ Настройки'!B15,G360*0.5))))</f>
        <v/>
      </c>
      <c r="K360" s="202">
        <f>IF(G360="","",IF(F360="User2",G360,IF(F360="User1",0,IF(I360="Да",G360*'⚙️ Настройки'!B16,G360*0.5))))</f>
        <v/>
      </c>
    </row>
    <row r="361" ht="15.75" customHeight="1" s="149">
      <c r="A361" s="209" t="n"/>
      <c r="B361" s="190">
        <f>IF(ISNUMBER(A361),YEAR(A361)&amp;"-"&amp;TEXT(MONTH(A361),"00"),"")</f>
        <v/>
      </c>
      <c r="J361" s="202">
        <f>IF(G361="","",IF(F361="User1",G361,IF(F361="User2",0,IF(I361="Да",G361*'⚙️ Настройки'!B15,G361*0.5))))</f>
        <v/>
      </c>
      <c r="K361" s="202">
        <f>IF(G361="","",IF(F361="User2",G361,IF(F361="User1",0,IF(I361="Да",G361*'⚙️ Настройки'!B16,G361*0.5))))</f>
        <v/>
      </c>
    </row>
    <row r="362" ht="15.75" customHeight="1" s="149">
      <c r="A362" s="209" t="n"/>
      <c r="B362" s="190">
        <f>IF(ISNUMBER(A362),YEAR(A362)&amp;"-"&amp;TEXT(MONTH(A362),"00"),"")</f>
        <v/>
      </c>
      <c r="J362" s="202">
        <f>IF(G362="","",IF(F362="User1",G362,IF(F362="User2",0,IF(I362="Да",G362*'⚙️ Настройки'!B15,G362*0.5))))</f>
        <v/>
      </c>
      <c r="K362" s="202">
        <f>IF(G362="","",IF(F362="User2",G362,IF(F362="User1",0,IF(I362="Да",G362*'⚙️ Настройки'!B16,G362*0.5))))</f>
        <v/>
      </c>
    </row>
    <row r="363" ht="15.75" customHeight="1" s="149">
      <c r="A363" s="209" t="n"/>
      <c r="B363" s="190">
        <f>IF(ISNUMBER(A363),YEAR(A363)&amp;"-"&amp;TEXT(MONTH(A363),"00"),"")</f>
        <v/>
      </c>
      <c r="J363" s="202">
        <f>IF(G363="","",IF(F363="User1",G363,IF(F363="User2",0,IF(I363="Да",G363*'⚙️ Настройки'!B15,G363*0.5))))</f>
        <v/>
      </c>
      <c r="K363" s="202">
        <f>IF(G363="","",IF(F363="User2",G363,IF(F363="User1",0,IF(I363="Да",G363*'⚙️ Настройки'!B16,G363*0.5))))</f>
        <v/>
      </c>
    </row>
    <row r="364" ht="15.75" customHeight="1" s="149">
      <c r="A364" s="209" t="n"/>
      <c r="B364" s="190">
        <f>IF(ISNUMBER(A364),YEAR(A364)&amp;"-"&amp;TEXT(MONTH(A364),"00"),"")</f>
        <v/>
      </c>
      <c r="J364" s="202">
        <f>IF(G364="","",IF(F364="User1",G364,IF(F364="User2",0,IF(I364="Да",G364*'⚙️ Настройки'!B15,G364*0.5))))</f>
        <v/>
      </c>
      <c r="K364" s="202">
        <f>IF(G364="","",IF(F364="User2",G364,IF(F364="User1",0,IF(I364="Да",G364*'⚙️ Настройки'!B16,G364*0.5))))</f>
        <v/>
      </c>
    </row>
    <row r="365" ht="15.75" customHeight="1" s="149">
      <c r="A365" s="209" t="n"/>
      <c r="B365" s="190">
        <f>IF(ISNUMBER(A365),YEAR(A365)&amp;"-"&amp;TEXT(MONTH(A365),"00"),"")</f>
        <v/>
      </c>
      <c r="J365" s="202">
        <f>IF(G365="","",IF(F365="User1",G365,IF(F365="User2",0,IF(I365="Да",G365*'⚙️ Настройки'!B15,G365*0.5))))</f>
        <v/>
      </c>
      <c r="K365" s="202">
        <f>IF(G365="","",IF(F365="User2",G365,IF(F365="User1",0,IF(I365="Да",G365*'⚙️ Настройки'!B16,G365*0.5))))</f>
        <v/>
      </c>
    </row>
    <row r="366" ht="15.75" customHeight="1" s="149">
      <c r="A366" s="209" t="n"/>
      <c r="B366" s="190">
        <f>IF(ISNUMBER(A366),YEAR(A366)&amp;"-"&amp;TEXT(MONTH(A366),"00"),"")</f>
        <v/>
      </c>
      <c r="J366" s="202">
        <f>IF(G366="","",IF(F366="User1",G366,IF(F366="User2",0,IF(I366="Да",G366*'⚙️ Настройки'!B15,G366*0.5))))</f>
        <v/>
      </c>
      <c r="K366" s="202">
        <f>IF(G366="","",IF(F366="User2",G366,IF(F366="User1",0,IF(I366="Да",G366*'⚙️ Настройки'!B16,G366*0.5))))</f>
        <v/>
      </c>
    </row>
    <row r="367" ht="15.75" customHeight="1" s="149">
      <c r="A367" s="209" t="n"/>
      <c r="B367" s="190">
        <f>IF(ISNUMBER(A367),YEAR(A367)&amp;"-"&amp;TEXT(MONTH(A367),"00"),"")</f>
        <v/>
      </c>
      <c r="J367" s="202">
        <f>IF(G367="","",IF(F367="User1",G367,IF(F367="User2",0,IF(I367="Да",G367*'⚙️ Настройки'!B15,G367*0.5))))</f>
        <v/>
      </c>
      <c r="K367" s="202">
        <f>IF(G367="","",IF(F367="User2",G367,IF(F367="User1",0,IF(I367="Да",G367*'⚙️ Настройки'!B16,G367*0.5))))</f>
        <v/>
      </c>
    </row>
    <row r="368" ht="15.75" customHeight="1" s="149">
      <c r="A368" s="209" t="n"/>
      <c r="B368" s="190">
        <f>IF(ISNUMBER(A368),YEAR(A368)&amp;"-"&amp;TEXT(MONTH(A368),"00"),"")</f>
        <v/>
      </c>
      <c r="J368" s="202">
        <f>IF(G368="","",IF(F368="User1",G368,IF(F368="User2",0,IF(I368="Да",G368*'⚙️ Настройки'!B15,G368*0.5))))</f>
        <v/>
      </c>
      <c r="K368" s="202">
        <f>IF(G368="","",IF(F368="User2",G368,IF(F368="User1",0,IF(I368="Да",G368*'⚙️ Настройки'!B16,G368*0.5))))</f>
        <v/>
      </c>
    </row>
    <row r="369" ht="15.75" customHeight="1" s="149">
      <c r="A369" s="209" t="n"/>
      <c r="B369" s="190">
        <f>IF(ISNUMBER(A369),YEAR(A369)&amp;"-"&amp;TEXT(MONTH(A369),"00"),"")</f>
        <v/>
      </c>
      <c r="J369" s="202">
        <f>IF(G369="","",IF(F369="User1",G369,IF(F369="User2",0,IF(I369="Да",G369*'⚙️ Настройки'!B15,G369*0.5))))</f>
        <v/>
      </c>
      <c r="K369" s="202">
        <f>IF(G369="","",IF(F369="User2",G369,IF(F369="User1",0,IF(I369="Да",G369*'⚙️ Настройки'!B16,G369*0.5))))</f>
        <v/>
      </c>
    </row>
    <row r="370" ht="15.75" customHeight="1" s="149">
      <c r="A370" s="209" t="n"/>
      <c r="B370" s="190">
        <f>IF(ISNUMBER(A370),YEAR(A370)&amp;"-"&amp;TEXT(MONTH(A370),"00"),"")</f>
        <v/>
      </c>
      <c r="J370" s="202">
        <f>IF(G370="","",IF(F370="User1",G370,IF(F370="User2",0,IF(I370="Да",G370*'⚙️ Настройки'!B15,G370*0.5))))</f>
        <v/>
      </c>
      <c r="K370" s="202">
        <f>IF(G370="","",IF(F370="User2",G370,IF(F370="User1",0,IF(I370="Да",G370*'⚙️ Настройки'!B16,G370*0.5))))</f>
        <v/>
      </c>
    </row>
    <row r="371" ht="15.75" customHeight="1" s="149">
      <c r="A371" s="209" t="n"/>
      <c r="B371" s="190">
        <f>IF(ISNUMBER(A371),YEAR(A371)&amp;"-"&amp;TEXT(MONTH(A371),"00"),"")</f>
        <v/>
      </c>
      <c r="J371" s="202">
        <f>IF(G371="","",IF(F371="User1",G371,IF(F371="User2",0,IF(I371="Да",G371*'⚙️ Настройки'!B15,G371*0.5))))</f>
        <v/>
      </c>
      <c r="K371" s="202">
        <f>IF(G371="","",IF(F371="User2",G371,IF(F371="User1",0,IF(I371="Да",G371*'⚙️ Настройки'!B16,G371*0.5))))</f>
        <v/>
      </c>
    </row>
    <row r="372" ht="15.75" customHeight="1" s="149">
      <c r="A372" s="209" t="n"/>
      <c r="B372" s="190">
        <f>IF(ISNUMBER(A372),YEAR(A372)&amp;"-"&amp;TEXT(MONTH(A372),"00"),"")</f>
        <v/>
      </c>
      <c r="J372" s="202">
        <f>IF(G372="","",IF(F372="User1",G372,IF(F372="User2",0,IF(I372="Да",G372*'⚙️ Настройки'!B15,G372*0.5))))</f>
        <v/>
      </c>
      <c r="K372" s="202">
        <f>IF(G372="","",IF(F372="User2",G372,IF(F372="User1",0,IF(I372="Да",G372*'⚙️ Настройки'!B16,G372*0.5))))</f>
        <v/>
      </c>
    </row>
    <row r="373" ht="15.75" customHeight="1" s="149">
      <c r="A373" s="209" t="n"/>
      <c r="B373" s="190">
        <f>IF(ISNUMBER(A373),YEAR(A373)&amp;"-"&amp;TEXT(MONTH(A373),"00"),"")</f>
        <v/>
      </c>
      <c r="J373" s="202">
        <f>IF(G373="","",IF(F373="User1",G373,IF(F373="User2",0,IF(I373="Да",G373*'⚙️ Настройки'!B15,G373*0.5))))</f>
        <v/>
      </c>
      <c r="K373" s="202">
        <f>IF(G373="","",IF(F373="User2",G373,IF(F373="User1",0,IF(I373="Да",G373*'⚙️ Настройки'!B16,G373*0.5))))</f>
        <v/>
      </c>
    </row>
    <row r="374" ht="15.75" customHeight="1" s="149">
      <c r="A374" s="209" t="n"/>
      <c r="B374" s="190">
        <f>IF(ISNUMBER(A374),YEAR(A374)&amp;"-"&amp;TEXT(MONTH(A374),"00"),"")</f>
        <v/>
      </c>
      <c r="J374" s="202">
        <f>IF(G374="","",IF(F374="User1",G374,IF(F374="User2",0,IF(I374="Да",G374*'⚙️ Настройки'!B15,G374*0.5))))</f>
        <v/>
      </c>
      <c r="K374" s="202">
        <f>IF(G374="","",IF(F374="User2",G374,IF(F374="User1",0,IF(I374="Да",G374*'⚙️ Настройки'!B16,G374*0.5))))</f>
        <v/>
      </c>
    </row>
    <row r="375" ht="15.75" customHeight="1" s="149">
      <c r="A375" s="209" t="n"/>
      <c r="B375" s="190">
        <f>IF(ISNUMBER(A375),YEAR(A375)&amp;"-"&amp;TEXT(MONTH(A375),"00"),"")</f>
        <v/>
      </c>
      <c r="J375" s="202">
        <f>IF(G375="","",IF(F375="User1",G375,IF(F375="User2",0,IF(I375="Да",G375*'⚙️ Настройки'!B15,G375*0.5))))</f>
        <v/>
      </c>
      <c r="K375" s="202">
        <f>IF(G375="","",IF(F375="User2",G375,IF(F375="User1",0,IF(I375="Да",G375*'⚙️ Настройки'!B16,G375*0.5))))</f>
        <v/>
      </c>
    </row>
    <row r="376" ht="15.75" customHeight="1" s="149">
      <c r="A376" s="209" t="n"/>
      <c r="B376" s="190">
        <f>IF(ISNUMBER(A376),YEAR(A376)&amp;"-"&amp;TEXT(MONTH(A376),"00"),"")</f>
        <v/>
      </c>
      <c r="J376" s="202">
        <f>IF(G376="","",IF(F376="User1",G376,IF(F376="User2",0,IF(I376="Да",G376*'⚙️ Настройки'!B15,G376*0.5))))</f>
        <v/>
      </c>
      <c r="K376" s="202">
        <f>IF(G376="","",IF(F376="User2",G376,IF(F376="User1",0,IF(I376="Да",G376*'⚙️ Настройки'!B16,G376*0.5))))</f>
        <v/>
      </c>
    </row>
    <row r="377" ht="15.75" customHeight="1" s="149">
      <c r="A377" s="209" t="n"/>
      <c r="B377" s="190">
        <f>IF(ISNUMBER(A377),YEAR(A377)&amp;"-"&amp;TEXT(MONTH(A377),"00"),"")</f>
        <v/>
      </c>
      <c r="J377" s="202">
        <f>IF(G377="","",IF(F377="User1",G377,IF(F377="User2",0,IF(I377="Да",G377*'⚙️ Настройки'!B15,G377*0.5))))</f>
        <v/>
      </c>
      <c r="K377" s="202">
        <f>IF(G377="","",IF(F377="User2",G377,IF(F377="User1",0,IF(I377="Да",G377*'⚙️ Настройки'!B16,G377*0.5))))</f>
        <v/>
      </c>
    </row>
    <row r="378" ht="15.75" customHeight="1" s="149">
      <c r="A378" s="209" t="n"/>
      <c r="B378" s="190">
        <f>IF(ISNUMBER(A378),YEAR(A378)&amp;"-"&amp;TEXT(MONTH(A378),"00"),"")</f>
        <v/>
      </c>
      <c r="J378" s="202">
        <f>IF(G378="","",IF(F378="User1",G378,IF(F378="User2",0,IF(I378="Да",G378*'⚙️ Настройки'!B15,G378*0.5))))</f>
        <v/>
      </c>
      <c r="K378" s="202">
        <f>IF(G378="","",IF(F378="User2",G378,IF(F378="User1",0,IF(I378="Да",G378*'⚙️ Настройки'!B16,G378*0.5))))</f>
        <v/>
      </c>
    </row>
    <row r="379" ht="15.75" customHeight="1" s="149">
      <c r="A379" s="209" t="n"/>
      <c r="B379" s="190">
        <f>IF(ISNUMBER(A379),YEAR(A379)&amp;"-"&amp;TEXT(MONTH(A379),"00"),"")</f>
        <v/>
      </c>
      <c r="J379" s="202">
        <f>IF(G379="","",IF(F379="User1",G379,IF(F379="User2",0,IF(I379="Да",G379*'⚙️ Настройки'!B15,G379*0.5))))</f>
        <v/>
      </c>
      <c r="K379" s="202">
        <f>IF(G379="","",IF(F379="User2",G379,IF(F379="User1",0,IF(I379="Да",G379*'⚙️ Настройки'!B16,G379*0.5))))</f>
        <v/>
      </c>
    </row>
    <row r="380" ht="15.75" customHeight="1" s="149">
      <c r="A380" s="209" t="n"/>
      <c r="B380" s="190">
        <f>IF(ISNUMBER(A380),YEAR(A380)&amp;"-"&amp;TEXT(MONTH(A380),"00"),"")</f>
        <v/>
      </c>
      <c r="J380" s="202">
        <f>IF(G380="","",IF(F380="User1",G380,IF(F380="User2",0,IF(I380="Да",G380*'⚙️ Настройки'!B15,G380*0.5))))</f>
        <v/>
      </c>
      <c r="K380" s="202">
        <f>IF(G380="","",IF(F380="User2",G380,IF(F380="User1",0,IF(I380="Да",G380*'⚙️ Настройки'!B16,G380*0.5))))</f>
        <v/>
      </c>
    </row>
    <row r="381" ht="15.75" customHeight="1" s="149">
      <c r="A381" s="209" t="n"/>
      <c r="B381" s="190">
        <f>IF(ISNUMBER(A381),YEAR(A381)&amp;"-"&amp;TEXT(MONTH(A381),"00"),"")</f>
        <v/>
      </c>
      <c r="J381" s="202">
        <f>IF(G381="","",IF(F381="User1",G381,IF(F381="User2",0,IF(I381="Да",G381*'⚙️ Настройки'!B15,G381*0.5))))</f>
        <v/>
      </c>
      <c r="K381" s="202">
        <f>IF(G381="","",IF(F381="User2",G381,IF(F381="User1",0,IF(I381="Да",G381*'⚙️ Настройки'!B16,G381*0.5))))</f>
        <v/>
      </c>
    </row>
    <row r="382" ht="15.75" customHeight="1" s="149">
      <c r="A382" s="209" t="n"/>
      <c r="B382" s="190">
        <f>IF(ISNUMBER(A382),YEAR(A382)&amp;"-"&amp;TEXT(MONTH(A382),"00"),"")</f>
        <v/>
      </c>
      <c r="J382" s="202">
        <f>IF(G382="","",IF(F382="User1",G382,IF(F382="User2",0,IF(I382="Да",G382*'⚙️ Настройки'!B15,G382*0.5))))</f>
        <v/>
      </c>
      <c r="K382" s="202">
        <f>IF(G382="","",IF(F382="User2",G382,IF(F382="User1",0,IF(I382="Да",G382*'⚙️ Настройки'!B16,G382*0.5))))</f>
        <v/>
      </c>
    </row>
    <row r="383" ht="15.75" customHeight="1" s="149">
      <c r="A383" s="209" t="n"/>
      <c r="B383" s="190">
        <f>IF(ISNUMBER(A383),YEAR(A383)&amp;"-"&amp;TEXT(MONTH(A383),"00"),"")</f>
        <v/>
      </c>
      <c r="J383" s="202">
        <f>IF(G383="","",IF(F383="User1",G383,IF(F383="User2",0,IF(I383="Да",G383*'⚙️ Настройки'!B15,G383*0.5))))</f>
        <v/>
      </c>
      <c r="K383" s="202">
        <f>IF(G383="","",IF(F383="User2",G383,IF(F383="User1",0,IF(I383="Да",G383*'⚙️ Настройки'!B16,G383*0.5))))</f>
        <v/>
      </c>
    </row>
    <row r="384" ht="15.75" customHeight="1" s="149">
      <c r="A384" s="209" t="n"/>
      <c r="B384" s="190">
        <f>IF(ISNUMBER(A384),YEAR(A384)&amp;"-"&amp;TEXT(MONTH(A384),"00"),"")</f>
        <v/>
      </c>
      <c r="J384" s="202">
        <f>IF(G384="","",IF(F384="User1",G384,IF(F384="User2",0,IF(I384="Да",G384*'⚙️ Настройки'!B15,G384*0.5))))</f>
        <v/>
      </c>
      <c r="K384" s="202">
        <f>IF(G384="","",IF(F384="User2",G384,IF(F384="User1",0,IF(I384="Да",G384*'⚙️ Настройки'!B16,G384*0.5))))</f>
        <v/>
      </c>
    </row>
    <row r="385" ht="15.75" customHeight="1" s="149">
      <c r="A385" s="209" t="n"/>
      <c r="B385" s="190">
        <f>IF(ISNUMBER(A385),YEAR(A385)&amp;"-"&amp;TEXT(MONTH(A385),"00"),"")</f>
        <v/>
      </c>
      <c r="J385" s="202">
        <f>IF(G385="","",IF(F385="User1",G385,IF(F385="User2",0,IF(I385="Да",G385*'⚙️ Настройки'!B15,G385*0.5))))</f>
        <v/>
      </c>
      <c r="K385" s="202">
        <f>IF(G385="","",IF(F385="User2",G385,IF(F385="User1",0,IF(I385="Да",G385*'⚙️ Настройки'!B16,G385*0.5))))</f>
        <v/>
      </c>
    </row>
    <row r="386" ht="15.75" customHeight="1" s="149">
      <c r="A386" s="209" t="n"/>
      <c r="B386" s="190">
        <f>IF(ISNUMBER(A386),YEAR(A386)&amp;"-"&amp;TEXT(MONTH(A386),"00"),"")</f>
        <v/>
      </c>
      <c r="J386" s="202">
        <f>IF(G386="","",IF(F386="User1",G386,IF(F386="User2",0,IF(I386="Да",G386*'⚙️ Настройки'!B15,G386*0.5))))</f>
        <v/>
      </c>
      <c r="K386" s="202">
        <f>IF(G386="","",IF(F386="User2",G386,IF(F386="User1",0,IF(I386="Да",G386*'⚙️ Настройки'!B16,G386*0.5))))</f>
        <v/>
      </c>
    </row>
    <row r="387" ht="15.75" customHeight="1" s="149">
      <c r="A387" s="209" t="n"/>
      <c r="B387" s="190">
        <f>IF(ISNUMBER(A387),YEAR(A387)&amp;"-"&amp;TEXT(MONTH(A387),"00"),"")</f>
        <v/>
      </c>
      <c r="J387" s="202">
        <f>IF(G387="","",IF(F387="User1",G387,IF(F387="User2",0,IF(I387="Да",G387*'⚙️ Настройки'!B15,G387*0.5))))</f>
        <v/>
      </c>
      <c r="K387" s="202">
        <f>IF(G387="","",IF(F387="User2",G387,IF(F387="User1",0,IF(I387="Да",G387*'⚙️ Настройки'!B16,G387*0.5))))</f>
        <v/>
      </c>
    </row>
    <row r="388" ht="15.75" customHeight="1" s="149">
      <c r="A388" s="209" t="n"/>
      <c r="B388" s="190">
        <f>IF(ISNUMBER(A388),YEAR(A388)&amp;"-"&amp;TEXT(MONTH(A388),"00"),"")</f>
        <v/>
      </c>
      <c r="J388" s="202">
        <f>IF(G388="","",IF(F388="User1",G388,IF(F388="User2",0,IF(I388="Да",G388*'⚙️ Настройки'!B15,G388*0.5))))</f>
        <v/>
      </c>
      <c r="K388" s="202">
        <f>IF(G388="","",IF(F388="User2",G388,IF(F388="User1",0,IF(I388="Да",G388*'⚙️ Настройки'!B16,G388*0.5))))</f>
        <v/>
      </c>
    </row>
    <row r="389" ht="15.75" customHeight="1" s="149">
      <c r="A389" s="209" t="n"/>
      <c r="B389" s="190">
        <f>IF(ISNUMBER(A389),YEAR(A389)&amp;"-"&amp;TEXT(MONTH(A389),"00"),"")</f>
        <v/>
      </c>
      <c r="J389" s="202">
        <f>IF(G389="","",IF(F389="User1",G389,IF(F389="User2",0,IF(I389="Да",G389*'⚙️ Настройки'!B15,G389*0.5))))</f>
        <v/>
      </c>
      <c r="K389" s="202">
        <f>IF(G389="","",IF(F389="User2",G389,IF(F389="User1",0,IF(I389="Да",G389*'⚙️ Настройки'!B16,G389*0.5))))</f>
        <v/>
      </c>
    </row>
    <row r="390" ht="15.75" customHeight="1" s="149">
      <c r="A390" s="209" t="n"/>
      <c r="B390" s="190">
        <f>IF(ISNUMBER(A390),YEAR(A390)&amp;"-"&amp;TEXT(MONTH(A390),"00"),"")</f>
        <v/>
      </c>
      <c r="J390" s="202">
        <f>IF(G390="","",IF(F390="User1",G390,IF(F390="User2",0,IF(I390="Да",G390*'⚙️ Настройки'!B15,G390*0.5))))</f>
        <v/>
      </c>
      <c r="K390" s="202">
        <f>IF(G390="","",IF(F390="User2",G390,IF(F390="User1",0,IF(I390="Да",G390*'⚙️ Настройки'!B16,G390*0.5))))</f>
        <v/>
      </c>
    </row>
    <row r="391" ht="15.75" customHeight="1" s="149">
      <c r="A391" s="209" t="n"/>
      <c r="B391" s="190">
        <f>IF(ISNUMBER(A391),YEAR(A391)&amp;"-"&amp;TEXT(MONTH(A391),"00"),"")</f>
        <v/>
      </c>
      <c r="J391" s="202">
        <f>IF(G391="","",IF(F391="User1",G391,IF(F391="User2",0,IF(I391="Да",G391*'⚙️ Настройки'!B15,G391*0.5))))</f>
        <v/>
      </c>
      <c r="K391" s="202">
        <f>IF(G391="","",IF(F391="User2",G391,IF(F391="User1",0,IF(I391="Да",G391*'⚙️ Настройки'!B16,G391*0.5))))</f>
        <v/>
      </c>
    </row>
    <row r="392" ht="15.75" customHeight="1" s="149">
      <c r="A392" s="209" t="n"/>
      <c r="B392" s="190">
        <f>IF(ISNUMBER(A392),YEAR(A392)&amp;"-"&amp;TEXT(MONTH(A392),"00"),"")</f>
        <v/>
      </c>
      <c r="J392" s="202">
        <f>IF(G392="","",IF(F392="User1",G392,IF(F392="User2",0,IF(I392="Да",G392*'⚙️ Настройки'!B15,G392*0.5))))</f>
        <v/>
      </c>
      <c r="K392" s="202">
        <f>IF(G392="","",IF(F392="User2",G392,IF(F392="User1",0,IF(I392="Да",G392*'⚙️ Настройки'!B16,G392*0.5))))</f>
        <v/>
      </c>
    </row>
    <row r="393" ht="15.75" customHeight="1" s="149">
      <c r="A393" s="209" t="n"/>
      <c r="B393" s="190">
        <f>IF(ISNUMBER(A393),YEAR(A393)&amp;"-"&amp;TEXT(MONTH(A393),"00"),"")</f>
        <v/>
      </c>
      <c r="J393" s="202">
        <f>IF(G393="","",IF(F393="User1",G393,IF(F393="User2",0,IF(I393="Да",G393*'⚙️ Настройки'!B15,G393*0.5))))</f>
        <v/>
      </c>
      <c r="K393" s="202">
        <f>IF(G393="","",IF(F393="User2",G393,IF(F393="User1",0,IF(I393="Да",G393*'⚙️ Настройки'!B16,G393*0.5))))</f>
        <v/>
      </c>
    </row>
    <row r="394" ht="15.75" customHeight="1" s="149">
      <c r="A394" s="209" t="n"/>
      <c r="B394" s="190">
        <f>IF(ISNUMBER(A394),YEAR(A394)&amp;"-"&amp;TEXT(MONTH(A394),"00"),"")</f>
        <v/>
      </c>
      <c r="J394" s="202">
        <f>IF(G394="","",IF(F394="User1",G394,IF(F394="User2",0,IF(I394="Да",G394*'⚙️ Настройки'!B15,G394*0.5))))</f>
        <v/>
      </c>
      <c r="K394" s="202">
        <f>IF(G394="","",IF(F394="User2",G394,IF(F394="User1",0,IF(I394="Да",G394*'⚙️ Настройки'!B16,G394*0.5))))</f>
        <v/>
      </c>
    </row>
    <row r="395" ht="15.75" customHeight="1" s="149">
      <c r="A395" s="209" t="n"/>
      <c r="B395" s="190">
        <f>IF(ISNUMBER(A395),YEAR(A395)&amp;"-"&amp;TEXT(MONTH(A395),"00"),"")</f>
        <v/>
      </c>
      <c r="J395" s="202">
        <f>IF(G395="","",IF(F395="User1",G395,IF(F395="User2",0,IF(I395="Да",G395*'⚙️ Настройки'!B15,G395*0.5))))</f>
        <v/>
      </c>
      <c r="K395" s="202">
        <f>IF(G395="","",IF(F395="User2",G395,IF(F395="User1",0,IF(I395="Да",G395*'⚙️ Настройки'!B16,G395*0.5))))</f>
        <v/>
      </c>
    </row>
    <row r="396" ht="15.75" customHeight="1" s="149">
      <c r="A396" s="209" t="n"/>
      <c r="B396" s="190">
        <f>IF(ISNUMBER(A396),YEAR(A396)&amp;"-"&amp;TEXT(MONTH(A396),"00"),"")</f>
        <v/>
      </c>
      <c r="J396" s="202">
        <f>IF(G396="","",IF(F396="User1",G396,IF(F396="User2",0,IF(I396="Да",G396*'⚙️ Настройки'!B15,G396*0.5))))</f>
        <v/>
      </c>
      <c r="K396" s="202">
        <f>IF(G396="","",IF(F396="User2",G396,IF(F396="User1",0,IF(I396="Да",G396*'⚙️ Настройки'!B16,G396*0.5))))</f>
        <v/>
      </c>
    </row>
    <row r="397" ht="15.75" customHeight="1" s="149">
      <c r="A397" s="209" t="n"/>
      <c r="B397" s="190">
        <f>IF(ISNUMBER(A397),YEAR(A397)&amp;"-"&amp;TEXT(MONTH(A397),"00"),"")</f>
        <v/>
      </c>
      <c r="J397" s="202">
        <f>IF(G397="","",IF(F397="User1",G397,IF(F397="User2",0,IF(I397="Да",G397*'⚙️ Настройки'!B15,G397*0.5))))</f>
        <v/>
      </c>
      <c r="K397" s="202">
        <f>IF(G397="","",IF(F397="User2",G397,IF(F397="User1",0,IF(I397="Да",G397*'⚙️ Настройки'!B16,G397*0.5))))</f>
        <v/>
      </c>
    </row>
    <row r="398" ht="15.75" customHeight="1" s="149">
      <c r="A398" s="209" t="n"/>
      <c r="B398" s="190">
        <f>IF(ISNUMBER(A398),YEAR(A398)&amp;"-"&amp;TEXT(MONTH(A398),"00"),"")</f>
        <v/>
      </c>
      <c r="J398" s="202">
        <f>IF(G398="","",IF(F398="User1",G398,IF(F398="User2",0,IF(I398="Да",G398*'⚙️ Настройки'!B15,G398*0.5))))</f>
        <v/>
      </c>
      <c r="K398" s="202">
        <f>IF(G398="","",IF(F398="User2",G398,IF(F398="User1",0,IF(I398="Да",G398*'⚙️ Настройки'!B16,G398*0.5))))</f>
        <v/>
      </c>
    </row>
    <row r="399" ht="15.75" customHeight="1" s="149">
      <c r="A399" s="209" t="n"/>
      <c r="B399" s="190">
        <f>IF(ISNUMBER(A399),YEAR(A399)&amp;"-"&amp;TEXT(MONTH(A399),"00"),"")</f>
        <v/>
      </c>
      <c r="J399" s="202">
        <f>IF(G399="","",IF(F399="User1",G399,IF(F399="User2",0,IF(I399="Да",G399*'⚙️ Настройки'!B15,G399*0.5))))</f>
        <v/>
      </c>
      <c r="K399" s="202">
        <f>IF(G399="","",IF(F399="User2",G399,IF(F399="User1",0,IF(I399="Да",G399*'⚙️ Настройки'!B16,G399*0.5))))</f>
        <v/>
      </c>
    </row>
    <row r="400" ht="15.75" customHeight="1" s="149">
      <c r="A400" s="209" t="n"/>
      <c r="B400" s="190">
        <f>IF(ISNUMBER(A400),YEAR(A400)&amp;"-"&amp;TEXT(MONTH(A400),"00"),"")</f>
        <v/>
      </c>
      <c r="J400" s="202">
        <f>IF(G400="","",IF(F400="User1",G400,IF(F400="User2",0,IF(I400="Да",G400*'⚙️ Настройки'!B15,G400*0.5))))</f>
        <v/>
      </c>
      <c r="K400" s="202">
        <f>IF(G400="","",IF(F400="User2",G400,IF(F400="User1",0,IF(I400="Да",G400*'⚙️ Настройки'!B16,G400*0.5))))</f>
        <v/>
      </c>
    </row>
    <row r="401" ht="15.75" customHeight="1" s="149">
      <c r="A401" s="209" t="n"/>
      <c r="B401" s="190">
        <f>IF(ISNUMBER(A401),YEAR(A401)&amp;"-"&amp;TEXT(MONTH(A401),"00"),"")</f>
        <v/>
      </c>
      <c r="J401" s="202">
        <f>IF(G401="","",IF(F401="User1",G401,IF(F401="User2",0,IF(I401="Да",G401*'⚙️ Настройки'!B15,G401*0.5))))</f>
        <v/>
      </c>
      <c r="K401" s="202">
        <f>IF(G401="","",IF(F401="User2",G401,IF(F401="User1",0,IF(I401="Да",G401*'⚙️ Настройки'!B16,G401*0.5))))</f>
        <v/>
      </c>
    </row>
    <row r="402" ht="15.75" customHeight="1" s="149">
      <c r="A402" s="209" t="n"/>
      <c r="B402" s="190">
        <f>IF(ISNUMBER(A402),YEAR(A402)&amp;"-"&amp;TEXT(MONTH(A402),"00"),"")</f>
        <v/>
      </c>
      <c r="J402" s="202">
        <f>IF(G402="","",IF(F402="User1",G402,IF(F402="User2",0,IF(I402="Да",G402*'⚙️ Настройки'!B15,G402*0.5))))</f>
        <v/>
      </c>
      <c r="K402" s="202">
        <f>IF(G402="","",IF(F402="User2",G402,IF(F402="User1",0,IF(I402="Да",G402*'⚙️ Настройки'!B16,G402*0.5))))</f>
        <v/>
      </c>
    </row>
    <row r="403" ht="15.75" customHeight="1" s="149">
      <c r="A403" s="209" t="n"/>
      <c r="B403" s="190">
        <f>IF(ISNUMBER(A403),YEAR(A403)&amp;"-"&amp;TEXT(MONTH(A403),"00"),"")</f>
        <v/>
      </c>
      <c r="J403" s="202">
        <f>IF(G403="","",IF(F403="User1",G403,IF(F403="User2",0,IF(I403="Да",G403*'⚙️ Настройки'!B15,G403*0.5))))</f>
        <v/>
      </c>
      <c r="K403" s="202">
        <f>IF(G403="","",IF(F403="User2",G403,IF(F403="User1",0,IF(I403="Да",G403*'⚙️ Настройки'!B16,G403*0.5))))</f>
        <v/>
      </c>
    </row>
    <row r="404" ht="15.75" customHeight="1" s="149">
      <c r="A404" s="209" t="n"/>
      <c r="B404" s="190">
        <f>IF(ISNUMBER(A404),YEAR(A404)&amp;"-"&amp;TEXT(MONTH(A404),"00"),"")</f>
        <v/>
      </c>
      <c r="J404" s="202">
        <f>IF(G404="","",IF(F404="User1",G404,IF(F404="User2",0,IF(I404="Да",G404*'⚙️ Настройки'!B15,G404*0.5))))</f>
        <v/>
      </c>
      <c r="K404" s="202">
        <f>IF(G404="","",IF(F404="User2",G404,IF(F404="User1",0,IF(I404="Да",G404*'⚙️ Настройки'!B16,G404*0.5))))</f>
        <v/>
      </c>
    </row>
    <row r="405" ht="15.75" customHeight="1" s="149">
      <c r="A405" s="209" t="n"/>
      <c r="B405" s="190">
        <f>IF(ISNUMBER(A405),YEAR(A405)&amp;"-"&amp;TEXT(MONTH(A405),"00"),"")</f>
        <v/>
      </c>
      <c r="J405" s="202">
        <f>IF(G405="","",IF(F405="User1",G405,IF(F405="User2",0,IF(I405="Да",G405*'⚙️ Настройки'!B15,G405*0.5))))</f>
        <v/>
      </c>
      <c r="K405" s="202">
        <f>IF(G405="","",IF(F405="User2",G405,IF(F405="User1",0,IF(I405="Да",G405*'⚙️ Настройки'!B16,G405*0.5))))</f>
        <v/>
      </c>
    </row>
    <row r="406" ht="15.75" customHeight="1" s="149">
      <c r="A406" s="209" t="n"/>
      <c r="B406" s="190">
        <f>IF(ISNUMBER(A406),YEAR(A406)&amp;"-"&amp;TEXT(MONTH(A406),"00"),"")</f>
        <v/>
      </c>
      <c r="J406" s="202">
        <f>IF(G406="","",IF(F406="User1",G406,IF(F406="User2",0,IF(I406="Да",G406*'⚙️ Настройки'!B15,G406*0.5))))</f>
        <v/>
      </c>
      <c r="K406" s="202">
        <f>IF(G406="","",IF(F406="User2",G406,IF(F406="User1",0,IF(I406="Да",G406*'⚙️ Настройки'!B16,G406*0.5))))</f>
        <v/>
      </c>
    </row>
    <row r="407" ht="15.75" customHeight="1" s="149">
      <c r="A407" s="209" t="n"/>
      <c r="B407" s="190">
        <f>IF(ISNUMBER(A407),YEAR(A407)&amp;"-"&amp;TEXT(MONTH(A407),"00"),"")</f>
        <v/>
      </c>
      <c r="J407" s="202">
        <f>IF(G407="","",IF(F407="User1",G407,IF(F407="User2",0,IF(I407="Да",G407*'⚙️ Настройки'!B15,G407*0.5))))</f>
        <v/>
      </c>
      <c r="K407" s="202">
        <f>IF(G407="","",IF(F407="User2",G407,IF(F407="User1",0,IF(I407="Да",G407*'⚙️ Настройки'!B16,G407*0.5))))</f>
        <v/>
      </c>
    </row>
    <row r="408" ht="15.75" customHeight="1" s="149">
      <c r="A408" s="209" t="n"/>
      <c r="B408" s="190">
        <f>IF(ISNUMBER(A408),YEAR(A408)&amp;"-"&amp;TEXT(MONTH(A408),"00"),"")</f>
        <v/>
      </c>
      <c r="J408" s="202">
        <f>IF(G408="","",IF(F408="User1",G408,IF(F408="User2",0,IF(I408="Да",G408*'⚙️ Настройки'!B15,G408*0.5))))</f>
        <v/>
      </c>
      <c r="K408" s="202">
        <f>IF(G408="","",IF(F408="User2",G408,IF(F408="User1",0,IF(I408="Да",G408*'⚙️ Настройки'!B16,G408*0.5))))</f>
        <v/>
      </c>
    </row>
    <row r="409" ht="15.75" customHeight="1" s="149">
      <c r="A409" s="209" t="n"/>
      <c r="B409" s="190">
        <f>IF(ISNUMBER(A409),YEAR(A409)&amp;"-"&amp;TEXT(MONTH(A409),"00"),"")</f>
        <v/>
      </c>
      <c r="J409" s="202">
        <f>IF(G409="","",IF(F409="User1",G409,IF(F409="User2",0,IF(I409="Да",G409*'⚙️ Настройки'!B15,G409*0.5))))</f>
        <v/>
      </c>
      <c r="K409" s="202">
        <f>IF(G409="","",IF(F409="User2",G409,IF(F409="User1",0,IF(I409="Да",G409*'⚙️ Настройки'!B16,G409*0.5))))</f>
        <v/>
      </c>
    </row>
    <row r="410" ht="15.75" customHeight="1" s="149">
      <c r="A410" s="209" t="n"/>
      <c r="B410" s="190">
        <f>IF(ISNUMBER(A410),YEAR(A410)&amp;"-"&amp;TEXT(MONTH(A410),"00"),"")</f>
        <v/>
      </c>
      <c r="J410" s="202">
        <f>IF(G410="","",IF(F410="User1",G410,IF(F410="User2",0,IF(I410="Да",G410*'⚙️ Настройки'!B15,G410*0.5))))</f>
        <v/>
      </c>
      <c r="K410" s="202">
        <f>IF(G410="","",IF(F410="User2",G410,IF(F410="User1",0,IF(I410="Да",G410*'⚙️ Настройки'!B16,G410*0.5))))</f>
        <v/>
      </c>
    </row>
    <row r="411" ht="15.75" customHeight="1" s="149">
      <c r="A411" s="209" t="n"/>
      <c r="B411" s="190">
        <f>IF(ISNUMBER(A411),YEAR(A411)&amp;"-"&amp;TEXT(MONTH(A411),"00"),"")</f>
        <v/>
      </c>
      <c r="J411">
        <f>IF(G411="","",IF(F411="User1",G411,IF(F411="User2",0,IF(I411="Да",G411*'⚙️ Настройки'!B15,G411*0.5))))</f>
        <v/>
      </c>
      <c r="K411" s="202">
        <f>IF(G411="","",IF(F411="User2",G411,IF(F411="User1",0,IF(I411="Да",G411*'⚙️ Настройки'!B16,G411*0.5))))</f>
        <v/>
      </c>
    </row>
    <row r="412" ht="15.75" customHeight="1" s="149">
      <c r="A412" s="209" t="n"/>
      <c r="B412" s="190">
        <f>IF(ISNUMBER(A412),YEAR(A412)&amp;"-"&amp;TEXT(MONTH(A412),"00"),"")</f>
        <v/>
      </c>
      <c r="J412">
        <f>IF(G412="","",IF(F412="User1",G412,IF(F412="User2",0,IF(I412="Да",G412*'⚙️ Настройки'!B15,G412*0.5))))</f>
        <v/>
      </c>
      <c r="K412" s="202">
        <f>IF(G412="","",IF(F412="User2",G412,IF(F412="User1",0,IF(I412="Да",G412*'⚙️ Настройки'!B16,G412*0.5))))</f>
        <v/>
      </c>
    </row>
    <row r="413" ht="15.75" customHeight="1" s="149">
      <c r="A413" s="209" t="n"/>
      <c r="B413" s="190">
        <f>IF(ISNUMBER(A413),YEAR(A413)&amp;"-"&amp;TEXT(MONTH(A413),"00"),"")</f>
        <v/>
      </c>
      <c r="J413">
        <f>IF(G413="","",IF(F413="User1",G413,IF(F413="User2",0,IF(I413="Да",G413*'⚙️ Настройки'!B15,G413*0.5))))</f>
        <v/>
      </c>
      <c r="K413" s="202">
        <f>IF(G413="","",IF(F413="User2",G413,IF(F413="User1",0,IF(I413="Да",G413*'⚙️ Настройки'!B16,G413*0.5))))</f>
        <v/>
      </c>
    </row>
    <row r="414" ht="15.75" customHeight="1" s="149">
      <c r="A414" s="209" t="n"/>
      <c r="B414" s="190">
        <f>IF(ISNUMBER(A414),YEAR(A414)&amp;"-"&amp;TEXT(MONTH(A414),"00"),"")</f>
        <v/>
      </c>
      <c r="J414">
        <f>IF(G414="","",IF(F414="User1",G414,IF(F414="User2",0,IF(I414="Да",G414*'⚙️ Настройки'!B15,G414*0.5))))</f>
        <v/>
      </c>
      <c r="K414" s="202">
        <f>IF(G414="","",IF(F414="User2",G414,IF(F414="User1",0,IF(I414="Да",G414*'⚙️ Настройки'!B16,G414*0.5))))</f>
        <v/>
      </c>
    </row>
    <row r="415" ht="15.75" customHeight="1" s="149">
      <c r="A415" s="209" t="n"/>
      <c r="B415" s="190">
        <f>IF(ISNUMBER(A415),YEAR(A415)&amp;"-"&amp;TEXT(MONTH(A415),"00"),"")</f>
        <v/>
      </c>
      <c r="J415">
        <f>IF(G415="","",IF(F415="User1",G415,IF(F415="User2",0,IF(I415="Да",G415*'⚙️ Настройки'!B15,G415*0.5))))</f>
        <v/>
      </c>
      <c r="K415" s="202">
        <f>IF(G415="","",IF(F415="User2",G415,IF(F415="User1",0,IF(I415="Да",G415*'⚙️ Настройки'!B16,G415*0.5))))</f>
        <v/>
      </c>
    </row>
    <row r="416" ht="15.75" customHeight="1" s="149">
      <c r="A416" s="209" t="n"/>
      <c r="B416" s="190">
        <f>IF(ISNUMBER(A416),YEAR(A416)&amp;"-"&amp;TEXT(MONTH(A416),"00"),"")</f>
        <v/>
      </c>
      <c r="J416">
        <f>IF(G416="","",IF(F416="User1",G416,IF(F416="User2",0,IF(I416="Да",G416*'⚙️ Настройки'!B15,G416*0.5))))</f>
        <v/>
      </c>
      <c r="K416" s="202">
        <f>IF(G416="","",IF(F416="User2",G416,IF(F416="User1",0,IF(I416="Да",G416*'⚙️ Настройки'!B16,G416*0.5))))</f>
        <v/>
      </c>
    </row>
    <row r="417" ht="15.75" customHeight="1" s="149">
      <c r="A417" s="209" t="n"/>
      <c r="B417" s="190">
        <f>IF(ISNUMBER(A417),YEAR(A417)&amp;"-"&amp;TEXT(MONTH(A417),"00"),"")</f>
        <v/>
      </c>
      <c r="J417">
        <f>IF(G417="","",IF(F417="User1",G417,IF(F417="User2",0,IF(I417="Да",G417*'⚙️ Настройки'!B15,G417*0.5))))</f>
        <v/>
      </c>
      <c r="K417" s="202">
        <f>IF(G417="","",IF(F417="User2",G417,IF(F417="User1",0,IF(I417="Да",G417*'⚙️ Настройки'!B16,G417*0.5))))</f>
        <v/>
      </c>
    </row>
    <row r="418" ht="15.75" customHeight="1" s="149">
      <c r="A418" s="209" t="n"/>
      <c r="B418" s="190">
        <f>IF(ISNUMBER(A418),YEAR(A418)&amp;"-"&amp;TEXT(MONTH(A418),"00"),"")</f>
        <v/>
      </c>
      <c r="J418">
        <f>IF(G418="","",IF(F418="User1",G418,IF(F418="User2",0,IF(I418="Да",G418*'⚙️ Настройки'!B15,G418*0.5))))</f>
        <v/>
      </c>
      <c r="K418" s="202">
        <f>IF(G418="","",IF(F418="User2",G418,IF(F418="User1",0,IF(I418="Да",G418*'⚙️ Настройки'!B16,G418*0.5))))</f>
        <v/>
      </c>
    </row>
    <row r="419" ht="15.75" customHeight="1" s="149">
      <c r="A419" s="209" t="n"/>
      <c r="B419" s="190">
        <f>IF(ISNUMBER(A419),YEAR(A419)&amp;"-"&amp;TEXT(MONTH(A419),"00"),"")</f>
        <v/>
      </c>
      <c r="J419">
        <f>IF(G419="","",IF(F419="User1",G419,IF(F419="User2",0,IF(I419="Да",G419*'⚙️ Настройки'!B15,G419*0.5))))</f>
        <v/>
      </c>
      <c r="K419" s="202">
        <f>IF(G419="","",IF(F419="User2",G419,IF(F419="User1",0,IF(I419="Да",G419*'⚙️ Настройки'!B16,G419*0.5))))</f>
        <v/>
      </c>
    </row>
    <row r="420" ht="15.75" customHeight="1" s="149">
      <c r="A420" s="209" t="n"/>
      <c r="B420" s="190">
        <f>IF(ISNUMBER(A420),YEAR(A420)&amp;"-"&amp;TEXT(MONTH(A420),"00"),"")</f>
        <v/>
      </c>
      <c r="J420">
        <f>IF(G420="","",IF(F420="User1",G420,IF(F420="User2",0,IF(I420="Да",G420*'⚙️ Настройки'!B15,G420*0.5))))</f>
        <v/>
      </c>
      <c r="K420" s="202">
        <f>IF(G420="","",IF(F420="User2",G420,IF(F420="User1",0,IF(I420="Да",G420*'⚙️ Настройки'!B16,G420*0.5))))</f>
        <v/>
      </c>
    </row>
    <row r="421" ht="15.75" customHeight="1" s="149">
      <c r="A421" s="209" t="n"/>
      <c r="B421" s="190">
        <f>IF(ISNUMBER(A421),YEAR(A421)&amp;"-"&amp;TEXT(MONTH(A421),"00"),"")</f>
        <v/>
      </c>
      <c r="J421">
        <f>IF(G421="","",IF(F421="User1",G421,IF(F421="User2",0,IF(I421="Да",G421*'⚙️ Настройки'!B15,G421*0.5))))</f>
        <v/>
      </c>
      <c r="K421" s="202">
        <f>IF(G421="","",IF(F421="User2",G421,IF(F421="User1",0,IF(I421="Да",G421*'⚙️ Настройки'!B16,G421*0.5))))</f>
        <v/>
      </c>
    </row>
    <row r="422" ht="15.75" customHeight="1" s="149">
      <c r="A422" s="209" t="n"/>
      <c r="B422" s="190">
        <f>IF(ISNUMBER(A422),YEAR(A422)&amp;"-"&amp;TEXT(MONTH(A422),"00"),"")</f>
        <v/>
      </c>
      <c r="J422">
        <f>IF(G422="","",IF(F422="User1",G422,IF(F422="User2",0,IF(I422="Да",G422*'⚙️ Настройки'!B15,G422*0.5))))</f>
        <v/>
      </c>
      <c r="K422" s="202">
        <f>IF(G422="","",IF(F422="User2",G422,IF(F422="User1",0,IF(I422="Да",G422*'⚙️ Настройки'!B16,G422*0.5))))</f>
        <v/>
      </c>
    </row>
    <row r="423" ht="15.75" customHeight="1" s="149">
      <c r="A423" s="209" t="n"/>
      <c r="B423" s="190">
        <f>IF(ISNUMBER(A423),YEAR(A423)&amp;"-"&amp;TEXT(MONTH(A423),"00"),"")</f>
        <v/>
      </c>
      <c r="J423">
        <f>IF(G423="","",IF(F423="User1",G423,IF(F423="User2",0,IF(I423="Да",G423*'⚙️ Настройки'!B15,G423*0.5))))</f>
        <v/>
      </c>
      <c r="K423" s="202">
        <f>IF(G423="","",IF(F423="User2",G423,IF(F423="User1",0,IF(I423="Да",G423*'⚙️ Настройки'!B16,G423*0.5))))</f>
        <v/>
      </c>
    </row>
    <row r="424" ht="15.75" customHeight="1" s="149">
      <c r="A424" s="209" t="n"/>
      <c r="B424" s="190">
        <f>IF(ISNUMBER(A424),YEAR(A424)&amp;"-"&amp;TEXT(MONTH(A424),"00"),"")</f>
        <v/>
      </c>
      <c r="J424">
        <f>IF(G424="","",IF(F424="User1",G424,IF(F424="User2",0,IF(I424="Да",G424*'⚙️ Настройки'!B15,G424*0.5))))</f>
        <v/>
      </c>
      <c r="K424" s="202">
        <f>IF(G424="","",IF(F424="User2",G424,IF(F424="User1",0,IF(I424="Да",G424*'⚙️ Настройки'!B16,G424*0.5))))</f>
        <v/>
      </c>
    </row>
    <row r="425" ht="15.75" customHeight="1" s="149">
      <c r="A425" s="209" t="n"/>
      <c r="B425" s="190">
        <f>IF(ISNUMBER(A425),YEAR(A425)&amp;"-"&amp;TEXT(MONTH(A425),"00"),"")</f>
        <v/>
      </c>
      <c r="J425">
        <f>IF(G425="","",IF(F425="User1",G425,IF(F425="User2",0,IF(I425="Да",G425*'⚙️ Настройки'!B15,G425*0.5))))</f>
        <v/>
      </c>
      <c r="K425" s="202">
        <f>IF(G425="","",IF(F425="User2",G425,IF(F425="User1",0,IF(I425="Да",G425*'⚙️ Настройки'!B16,G425*0.5))))</f>
        <v/>
      </c>
    </row>
    <row r="426" ht="15.75" customHeight="1" s="149">
      <c r="A426" s="209" t="n"/>
      <c r="B426" s="190">
        <f>IF(ISNUMBER(A426),YEAR(A426)&amp;"-"&amp;TEXT(MONTH(A426),"00"),"")</f>
        <v/>
      </c>
      <c r="J426">
        <f>IF(G426="","",IF(F426="User1",G426,IF(F426="User2",0,IF(I426="Да",G426*'⚙️ Настройки'!B15,G426*0.5))))</f>
        <v/>
      </c>
      <c r="K426" s="202">
        <f>IF(G426="","",IF(F426="User2",G426,IF(F426="User1",0,IF(I426="Да",G426*'⚙️ Настройки'!B16,G426*0.5))))</f>
        <v/>
      </c>
    </row>
    <row r="427" ht="15.75" customHeight="1" s="149">
      <c r="A427" s="209" t="n"/>
      <c r="B427" s="190">
        <f>IF(ISNUMBER(A427),YEAR(A427)&amp;"-"&amp;TEXT(MONTH(A427),"00"),"")</f>
        <v/>
      </c>
      <c r="J427">
        <f>IF(G427="","",IF(F427="User1",G427,IF(F427="User2",0,IF(I427="Да",G427*'⚙️ Настройки'!B15,G427*0.5))))</f>
        <v/>
      </c>
      <c r="K427" s="202">
        <f>IF(G427="","",IF(F427="User2",G427,IF(F427="User1",0,IF(I427="Да",G427*'⚙️ Настройки'!B16,G427*0.5))))</f>
        <v/>
      </c>
    </row>
    <row r="428" ht="15.75" customHeight="1" s="149">
      <c r="A428" s="209" t="n"/>
      <c r="B428" s="190">
        <f>IF(ISNUMBER(A428),YEAR(A428)&amp;"-"&amp;TEXT(MONTH(A428),"00"),"")</f>
        <v/>
      </c>
      <c r="J428">
        <f>IF(G428="","",IF(F428="User1",G428,IF(F428="User2",0,IF(I428="Да",G428*'⚙️ Настройки'!B15,G428*0.5))))</f>
        <v/>
      </c>
      <c r="K428" s="202">
        <f>IF(G428="","",IF(F428="User2",G428,IF(F428="User1",0,IF(I428="Да",G428*'⚙️ Настройки'!B16,G428*0.5))))</f>
        <v/>
      </c>
    </row>
    <row r="429" ht="15.75" customHeight="1" s="149">
      <c r="A429" s="209" t="n"/>
      <c r="B429" s="190">
        <f>IF(ISNUMBER(A429),YEAR(A429)&amp;"-"&amp;TEXT(MONTH(A429),"00"),"")</f>
        <v/>
      </c>
      <c r="J429">
        <f>IF(G429="","",IF(F429="User1",G429,IF(F429="User2",0,IF(I429="Да",G429*'⚙️ Настройки'!B15,G429*0.5))))</f>
        <v/>
      </c>
      <c r="K429" s="202">
        <f>IF(G429="","",IF(F429="User2",G429,IF(F429="User1",0,IF(I429="Да",G429*'⚙️ Настройки'!B16,G429*0.5))))</f>
        <v/>
      </c>
    </row>
    <row r="430" ht="15.75" customHeight="1" s="149">
      <c r="A430" s="209" t="n"/>
      <c r="B430" s="190">
        <f>IF(ISNUMBER(A430),YEAR(A430)&amp;"-"&amp;TEXT(MONTH(A430),"00"),"")</f>
        <v/>
      </c>
      <c r="J430">
        <f>IF(G430="","",IF(F430="User1",G430,IF(F430="User2",0,IF(I430="Да",G430*'⚙️ Настройки'!B15,G430*0.5))))</f>
        <v/>
      </c>
      <c r="K430" s="202">
        <f>IF(G430="","",IF(F430="User2",G430,IF(F430="User1",0,IF(I430="Да",G430*'⚙️ Настройки'!B16,G430*0.5))))</f>
        <v/>
      </c>
    </row>
    <row r="431" ht="15.75" customHeight="1" s="149">
      <c r="A431" s="209" t="n"/>
      <c r="B431" s="190">
        <f>IF(ISNUMBER(A431),YEAR(A431)&amp;"-"&amp;TEXT(MONTH(A431),"00"),"")</f>
        <v/>
      </c>
      <c r="J431">
        <f>IF(G431="","",IF(F431="User1",G431,IF(F431="User2",0,IF(I431="Да",G431*'⚙️ Настройки'!B15,G431*0.5))))</f>
        <v/>
      </c>
      <c r="K431" s="202">
        <f>IF(G431="","",IF(F431="User2",G431,IF(F431="User1",0,IF(I431="Да",G431*'⚙️ Настройки'!B16,G431*0.5))))</f>
        <v/>
      </c>
    </row>
    <row r="432" ht="15.75" customHeight="1" s="149">
      <c r="A432" s="209" t="n"/>
      <c r="B432" s="190">
        <f>IF(ISNUMBER(A432),YEAR(A432)&amp;"-"&amp;TEXT(MONTH(A432),"00"),"")</f>
        <v/>
      </c>
      <c r="J432">
        <f>IF(G432="","",IF(F432="User1",G432,IF(F432="User2",0,IF(I432="Да",G432*'⚙️ Настройки'!B15,G432*0.5))))</f>
        <v/>
      </c>
      <c r="K432" s="202">
        <f>IF(G432="","",IF(F432="User2",G432,IF(F432="User1",0,IF(I432="Да",G432*'⚙️ Настройки'!B16,G432*0.5))))</f>
        <v/>
      </c>
    </row>
    <row r="433" ht="15.75" customHeight="1" s="149">
      <c r="A433" s="209" t="n"/>
      <c r="B433" s="190">
        <f>IF(ISNUMBER(A433),YEAR(A433)&amp;"-"&amp;TEXT(MONTH(A433),"00"),"")</f>
        <v/>
      </c>
      <c r="J433">
        <f>IF(G433="","",IF(F433="User1",G433,IF(F433="User2",0,IF(I433="Да",G433*'⚙️ Настройки'!B15,G433*0.5))))</f>
        <v/>
      </c>
      <c r="K433" s="202">
        <f>IF(G433="","",IF(F433="User2",G433,IF(F433="User1",0,IF(I433="Да",G433*'⚙️ Настройки'!B16,G433*0.5))))</f>
        <v/>
      </c>
    </row>
    <row r="434" ht="15.75" customHeight="1" s="149">
      <c r="A434" s="209" t="n"/>
      <c r="B434" s="190">
        <f>IF(ISNUMBER(A434),YEAR(A434)&amp;"-"&amp;TEXT(MONTH(A434),"00"),"")</f>
        <v/>
      </c>
      <c r="J434">
        <f>IF(G434="","",IF(F434="User1",G434,IF(F434="User2",0,IF(I434="Да",G434*'⚙️ Настройки'!B15,G434*0.5))))</f>
        <v/>
      </c>
      <c r="K434" s="202">
        <f>IF(G434="","",IF(F434="User2",G434,IF(F434="User1",0,IF(I434="Да",G434*'⚙️ Настройки'!B16,G434*0.5))))</f>
        <v/>
      </c>
    </row>
    <row r="435" ht="15.75" customHeight="1" s="149">
      <c r="A435" s="209" t="n"/>
      <c r="B435" s="190">
        <f>IF(ISNUMBER(A435),YEAR(A435)&amp;"-"&amp;TEXT(MONTH(A435),"00"),"")</f>
        <v/>
      </c>
      <c r="J435">
        <f>IF(G435="","",IF(F435="User1",G435,IF(F435="User2",0,IF(I435="Да",G435*'⚙️ Настройки'!B15,G435*0.5))))</f>
        <v/>
      </c>
      <c r="K435" s="202">
        <f>IF(G435="","",IF(F435="User2",G435,IF(F435="User1",0,IF(I435="Да",G435*'⚙️ Настройки'!B16,G435*0.5))))</f>
        <v/>
      </c>
    </row>
    <row r="436" ht="15.75" customHeight="1" s="149">
      <c r="A436" s="209" t="n"/>
      <c r="B436" s="190">
        <f>IF(ISNUMBER(A436),YEAR(A436)&amp;"-"&amp;TEXT(MONTH(A436),"00"),"")</f>
        <v/>
      </c>
      <c r="J436">
        <f>IF(G436="","",IF(F436="User1",G436,IF(F436="User2",0,IF(I436="Да",G436*'⚙️ Настройки'!B15,G436*0.5))))</f>
        <v/>
      </c>
      <c r="K436" s="202">
        <f>IF(G436="","",IF(F436="User2",G436,IF(F436="User1",0,IF(I436="Да",G436*'⚙️ Настройки'!B16,G436*0.5))))</f>
        <v/>
      </c>
    </row>
    <row r="437" ht="15.75" customHeight="1" s="149">
      <c r="A437" s="209" t="n"/>
      <c r="B437" s="190">
        <f>IF(ISNUMBER(A437),YEAR(A437)&amp;"-"&amp;TEXT(MONTH(A437),"00"),"")</f>
        <v/>
      </c>
      <c r="J437">
        <f>IF(G437="","",IF(F437="User1",G437,IF(F437="User2",0,IF(I437="Да",G437*'⚙️ Настройки'!B15,G437*0.5))))</f>
        <v/>
      </c>
      <c r="K437">
        <f>IF(G437="","",IF(F437="User2",G437,IF(F437="User1",0,IF(I437="Да",G437*'⚙️ Настройки'!B16,G437*0.5))))</f>
        <v/>
      </c>
    </row>
    <row r="438" ht="15.75" customHeight="1" s="149">
      <c r="A438" s="209" t="n"/>
      <c r="B438" s="190">
        <f>IF(ISNUMBER(A438),YEAR(A438)&amp;"-"&amp;TEXT(MONTH(A438),"00"),"")</f>
        <v/>
      </c>
      <c r="J438">
        <f>IF(G438="","",IF(F438="User1",G438,IF(F438="User2",0,IF(I438="Да",G438*'⚙️ Настройки'!B15,G438*0.5))))</f>
        <v/>
      </c>
      <c r="K438">
        <f>IF(G438="","",IF(F438="User2",G438,IF(F438="User1",0,IF(I438="Да",G438*'⚙️ Настройки'!B16,G438*0.5))))</f>
        <v/>
      </c>
    </row>
    <row r="439" ht="15.75" customHeight="1" s="149">
      <c r="A439" s="209" t="n"/>
      <c r="B439" s="190">
        <f>IF(ISNUMBER(A439),YEAR(A439)&amp;"-"&amp;TEXT(MONTH(A439),"00"),"")</f>
        <v/>
      </c>
      <c r="J439">
        <f>IF(G439="","",IF(F439="User1",G439,IF(F439="User2",0,IF(I439="Да",G439*'⚙️ Настройки'!B15,G439*0.5))))</f>
        <v/>
      </c>
      <c r="K439">
        <f>IF(G439="","",IF(F439="User2",G439,IF(F439="User1",0,IF(I439="Да",G439*'⚙️ Настройки'!B16,G439*0.5))))</f>
        <v/>
      </c>
    </row>
    <row r="440" ht="15.75" customHeight="1" s="149">
      <c r="A440" s="209" t="n"/>
      <c r="B440" s="190">
        <f>IF(ISNUMBER(A440),YEAR(A440)&amp;"-"&amp;TEXT(MONTH(A440),"00"),"")</f>
        <v/>
      </c>
      <c r="J440">
        <f>IF(G440="","",IF(F440="User1",G440,IF(F440="User2",0,IF(I440="Да",G440*'⚙️ Настройки'!B15,G440*0.5))))</f>
        <v/>
      </c>
      <c r="K440">
        <f>IF(G440="","",IF(F440="User2",G440,IF(F440="User1",0,IF(I440="Да",G440*'⚙️ Настройки'!B16,G440*0.5))))</f>
        <v/>
      </c>
    </row>
    <row r="441" ht="15.75" customHeight="1" s="149">
      <c r="A441" s="209" t="n"/>
      <c r="B441" s="190">
        <f>IF(ISNUMBER(A441),YEAR(A441)&amp;"-"&amp;TEXT(MONTH(A441),"00"),"")</f>
        <v/>
      </c>
      <c r="J441">
        <f>IF(G441="","",IF(F441="User1",G441,IF(F441="User2",0,IF(I441="Да",G441*'⚙️ Настройки'!B15,G441*0.5))))</f>
        <v/>
      </c>
      <c r="K441">
        <f>IF(G441="","",IF(F441="User2",G441,IF(F441="User1",0,IF(I441="Да",G441*'⚙️ Настройки'!B16,G441*0.5))))</f>
        <v/>
      </c>
    </row>
    <row r="442" ht="15.75" customHeight="1" s="149">
      <c r="A442" s="209" t="n"/>
      <c r="B442" s="190">
        <f>IF(ISNUMBER(A442),YEAR(A442)&amp;"-"&amp;TEXT(MONTH(A442),"00"),"")</f>
        <v/>
      </c>
      <c r="J442">
        <f>IF(G442="","",IF(F442="User1",G442,IF(F442="User2",0,IF(I442="Да",G442*'⚙️ Настройки'!B15,G442*0.5))))</f>
        <v/>
      </c>
      <c r="K442">
        <f>IF(G442="","",IF(F442="User2",G442,IF(F442="User1",0,IF(I442="Да",G442*'⚙️ Настройки'!B16,G442*0.5))))</f>
        <v/>
      </c>
    </row>
    <row r="443" ht="15.75" customHeight="1" s="149">
      <c r="A443" s="209" t="n"/>
      <c r="B443" s="190">
        <f>IF(ISNUMBER(A443),YEAR(A443)&amp;"-"&amp;TEXT(MONTH(A443),"00"),"")</f>
        <v/>
      </c>
      <c r="J443">
        <f>IF(G443="","",IF(F443="User1",G443,IF(F443="User2",0,IF(I443="Да",G443*'⚙️ Настройки'!B15,G443*0.5))))</f>
        <v/>
      </c>
      <c r="K443">
        <f>IF(G443="","",IF(F443="User2",G443,IF(F443="User1",0,IF(I443="Да",G443*'⚙️ Настройки'!B16,G443*0.5))))</f>
        <v/>
      </c>
    </row>
    <row r="444" ht="15.75" customHeight="1" s="149">
      <c r="A444" s="209" t="n"/>
      <c r="B444" s="190">
        <f>IF(ISNUMBER(A444),YEAR(A444)&amp;"-"&amp;TEXT(MONTH(A444),"00"),"")</f>
        <v/>
      </c>
      <c r="J444">
        <f>IF(G444="","",IF(F444="User1",G444,IF(F444="User2",0,IF(I444="Да",G444*'⚙️ Настройки'!B15,G444*0.5))))</f>
        <v/>
      </c>
      <c r="K444">
        <f>IF(G444="","",IF(F444="User2",G444,IF(F444="User1",0,IF(I444="Да",G444*'⚙️ Настройки'!B16,G444*0.5))))</f>
        <v/>
      </c>
    </row>
    <row r="445" ht="15.75" customHeight="1" s="149">
      <c r="A445" s="209" t="n"/>
      <c r="B445" s="190">
        <f>IF(ISNUMBER(A445),YEAR(A445)&amp;"-"&amp;TEXT(MONTH(A445),"00"),"")</f>
        <v/>
      </c>
      <c r="J445">
        <f>IF(G445="","",IF(F445="User1",G445,IF(F445="User2",0,IF(I445="Да",G445*'⚙️ Настройки'!B15,G445*0.5))))</f>
        <v/>
      </c>
      <c r="K445">
        <f>IF(G445="","",IF(F445="User2",G445,IF(F445="User1",0,IF(I445="Да",G445*'⚙️ Настройки'!B16,G445*0.5))))</f>
        <v/>
      </c>
    </row>
    <row r="446" ht="15.75" customHeight="1" s="149">
      <c r="A446" s="209" t="n"/>
      <c r="B446" s="190">
        <f>IF(ISNUMBER(A446),YEAR(A446)&amp;"-"&amp;TEXT(MONTH(A446),"00"),"")</f>
        <v/>
      </c>
      <c r="J446">
        <f>IF(G446="","",IF(F446="User1",G446,IF(F446="User2",0,IF(I446="Да",G446*'⚙️ Настройки'!B15,G446*0.5))))</f>
        <v/>
      </c>
      <c r="K446">
        <f>IF(G446="","",IF(F446="User2",G446,IF(F446="User1",0,IF(I446="Да",G446*'⚙️ Настройки'!B16,G446*0.5))))</f>
        <v/>
      </c>
    </row>
    <row r="447" ht="15.75" customHeight="1" s="149">
      <c r="A447" s="209" t="n"/>
      <c r="B447" s="190">
        <f>IF(ISNUMBER(A447),YEAR(A447)&amp;"-"&amp;TEXT(MONTH(A447),"00"),"")</f>
        <v/>
      </c>
      <c r="J447">
        <f>IF(G447="","",IF(F447="User1",G447,IF(F447="User2",0,IF(I447="Да",G447*'⚙️ Настройки'!B15,G447*0.5))))</f>
        <v/>
      </c>
      <c r="K447">
        <f>IF(G447="","",IF(F447="User2",G447,IF(F447="User1",0,IF(I447="Да",G447*'⚙️ Настройки'!B16,G447*0.5))))</f>
        <v/>
      </c>
    </row>
    <row r="448" ht="15.75" customHeight="1" s="149">
      <c r="A448" s="209" t="n"/>
      <c r="B448" s="190">
        <f>IF(ISNUMBER(A448),YEAR(A448)&amp;"-"&amp;TEXT(MONTH(A448),"00"),"")</f>
        <v/>
      </c>
      <c r="J448">
        <f>IF(G448="","",IF(F448="User1",G448,IF(F448="User2",0,IF(I448="Да",G448*'⚙️ Настройки'!B15,G448*0.5))))</f>
        <v/>
      </c>
      <c r="K448">
        <f>IF(G448="","",IF(F448="User2",G448,IF(F448="User1",0,IF(I448="Да",G448*'⚙️ Настройки'!B16,G448*0.5))))</f>
        <v/>
      </c>
    </row>
    <row r="449" ht="15.75" customHeight="1" s="149">
      <c r="A449" s="209" t="n"/>
      <c r="B449" s="190">
        <f>IF(ISNUMBER(A449),YEAR(A449)&amp;"-"&amp;TEXT(MONTH(A449),"00"),"")</f>
        <v/>
      </c>
      <c r="J449">
        <f>IF(G449="","",IF(F449="User1",G449,IF(F449="User2",0,IF(I449="Да",G449*'⚙️ Настройки'!B15,G449*0.5))))</f>
        <v/>
      </c>
      <c r="K449">
        <f>IF(G449="","",IF(F449="User2",G449,IF(F449="User1",0,IF(I449="Да",G449*'⚙️ Настройки'!B16,G449*0.5))))</f>
        <v/>
      </c>
    </row>
    <row r="450" ht="15.75" customHeight="1" s="149">
      <c r="A450" s="209" t="n"/>
      <c r="B450" s="190">
        <f>IF(ISNUMBER(A450),YEAR(A450)&amp;"-"&amp;TEXT(MONTH(A450),"00"),"")</f>
        <v/>
      </c>
      <c r="J450">
        <f>IF(G450="","",IF(F450="User1",G450,IF(F450="User2",0,IF(I450="Да",G450*'⚙️ Настройки'!B15,G450*0.5))))</f>
        <v/>
      </c>
      <c r="K450">
        <f>IF(G450="","",IF(F450="User2",G450,IF(F450="User1",0,IF(I450="Да",G450*'⚙️ Настройки'!B16,G450*0.5))))</f>
        <v/>
      </c>
    </row>
    <row r="451" ht="15.75" customHeight="1" s="149">
      <c r="A451" s="209" t="n"/>
      <c r="B451" s="190">
        <f>IF(ISNUMBER(A451),YEAR(A451)&amp;"-"&amp;TEXT(MONTH(A451),"00"),"")</f>
        <v/>
      </c>
      <c r="J451">
        <f>IF(G451="","",IF(F451="User1",G451,IF(F451="User2",0,IF(I451="Да",G451*'⚙️ Настройки'!B15,G451*0.5))))</f>
        <v/>
      </c>
      <c r="K451">
        <f>IF(G451="","",IF(F451="User2",G451,IF(F451="User1",0,IF(I451="Да",G451*'⚙️ Настройки'!B16,G451*0.5))))</f>
        <v/>
      </c>
    </row>
    <row r="452" ht="15.75" customHeight="1" s="149">
      <c r="A452" s="209" t="n"/>
      <c r="B452" s="190">
        <f>IF(ISNUMBER(A452),YEAR(A452)&amp;"-"&amp;TEXT(MONTH(A452),"00"),"")</f>
        <v/>
      </c>
      <c r="J452">
        <f>IF(G452="","",IF(F452="User1",G452,IF(F452="User2",0,IF(I452="Да",G452*'⚙️ Настройки'!B15,G452*0.5))))</f>
        <v/>
      </c>
      <c r="K452">
        <f>IF(G452="","",IF(F452="User2",G452,IF(F452="User1",0,IF(I452="Да",G452*'⚙️ Настройки'!B16,G452*0.5))))</f>
        <v/>
      </c>
    </row>
    <row r="453" ht="15.75" customHeight="1" s="149">
      <c r="A453" s="209" t="n"/>
      <c r="B453" s="190">
        <f>IF(ISNUMBER(A453),YEAR(A453)&amp;"-"&amp;TEXT(MONTH(A453),"00"),"")</f>
        <v/>
      </c>
      <c r="J453">
        <f>IF(G453="","",IF(F453="User1",G453,IF(F453="User2",0,IF(I453="Да",G453*'⚙️ Настройки'!B15,G453*0.5))))</f>
        <v/>
      </c>
      <c r="K453">
        <f>IF(G453="","",IF(F453="User2",G453,IF(F453="User1",0,IF(I453="Да",G453*'⚙️ Настройки'!B16,G453*0.5))))</f>
        <v/>
      </c>
    </row>
    <row r="454" ht="15.75" customHeight="1" s="149">
      <c r="A454" s="209" t="n"/>
      <c r="B454" s="190">
        <f>IF(ISNUMBER(A454),YEAR(A454)&amp;"-"&amp;TEXT(MONTH(A454),"00"),"")</f>
        <v/>
      </c>
      <c r="J454">
        <f>IF(G454="","",IF(F454="User1",G454,IF(F454="User2",0,IF(I454="Да",G454*'⚙️ Настройки'!B15,G454*0.5))))</f>
        <v/>
      </c>
      <c r="K454">
        <f>IF(G454="","",IF(F454="User2",G454,IF(F454="User1",0,IF(I454="Да",G454*'⚙️ Настройки'!B16,G454*0.5))))</f>
        <v/>
      </c>
    </row>
    <row r="455" ht="15.75" customHeight="1" s="149">
      <c r="A455" s="209" t="n"/>
      <c r="B455" s="190">
        <f>IF(ISNUMBER(A455),YEAR(A455)&amp;"-"&amp;TEXT(MONTH(A455),"00"),"")</f>
        <v/>
      </c>
      <c r="J455">
        <f>IF(G455="","",IF(F455="User1",G455,IF(F455="User2",0,IF(I455="Да",G455*'⚙️ Настройки'!B15,G455*0.5))))</f>
        <v/>
      </c>
      <c r="K455">
        <f>IF(G455="","",IF(F455="User2",G455,IF(F455="User1",0,IF(I455="Да",G455*'⚙️ Настройки'!B16,G455*0.5))))</f>
        <v/>
      </c>
    </row>
    <row r="456" ht="15.75" customHeight="1" s="149">
      <c r="A456" s="209" t="n"/>
      <c r="B456" s="190">
        <f>IF(ISNUMBER(A456),YEAR(A456)&amp;"-"&amp;TEXT(MONTH(A456),"00"),"")</f>
        <v/>
      </c>
      <c r="J456">
        <f>IF(G456="","",IF(F456="User1",G456,IF(F456="User2",0,IF(I456="Да",G456*'⚙️ Настройки'!B15,G456*0.5))))</f>
        <v/>
      </c>
      <c r="K456">
        <f>IF(G456="","",IF(F456="User2",G456,IF(F456="User1",0,IF(I456="Да",G456*'⚙️ Настройки'!B16,G456*0.5))))</f>
        <v/>
      </c>
    </row>
    <row r="457" ht="15.75" customHeight="1" s="149">
      <c r="A457" s="209" t="n"/>
      <c r="B457" s="190">
        <f>IF(ISNUMBER(A457),YEAR(A457)&amp;"-"&amp;TEXT(MONTH(A457),"00"),"")</f>
        <v/>
      </c>
      <c r="J457">
        <f>IF(G457="","",IF(F457="User1",G457,IF(F457="User2",0,IF(I457="Да",G457*'⚙️ Настройки'!B15,G457*0.5))))</f>
        <v/>
      </c>
      <c r="K457">
        <f>IF(G457="","",IF(F457="User2",G457,IF(F457="User1",0,IF(I457="Да",G457*'⚙️ Настройки'!B16,G457*0.5))))</f>
        <v/>
      </c>
    </row>
    <row r="458" ht="15.75" customHeight="1" s="149">
      <c r="A458" s="209" t="n"/>
      <c r="B458" s="190">
        <f>IF(ISNUMBER(A458),YEAR(A458)&amp;"-"&amp;TEXT(MONTH(A458),"00"),"")</f>
        <v/>
      </c>
      <c r="J458">
        <f>IF(G458="","",IF(F458="User1",G458,IF(F458="User2",0,IF(I458="Да",G458*'⚙️ Настройки'!B15,G458*0.5))))</f>
        <v/>
      </c>
      <c r="K458">
        <f>IF(G458="","",IF(F458="User2",G458,IF(F458="User1",0,IF(I458="Да",G458*'⚙️ Настройки'!B16,G458*0.5))))</f>
        <v/>
      </c>
    </row>
    <row r="459" ht="15.75" customHeight="1" s="149">
      <c r="A459" s="209" t="n"/>
      <c r="B459" s="190">
        <f>IF(ISNUMBER(A459),YEAR(A459)&amp;"-"&amp;TEXT(MONTH(A459),"00"),"")</f>
        <v/>
      </c>
      <c r="J459">
        <f>IF(G459="","",IF(F459="User1",G459,IF(F459="User2",0,IF(I459="Да",G459*'⚙️ Настройки'!B15,G459*0.5))))</f>
        <v/>
      </c>
      <c r="K459">
        <f>IF(G459="","",IF(F459="User2",G459,IF(F459="User1",0,IF(I459="Да",G459*'⚙️ Настройки'!B16,G459*0.5))))</f>
        <v/>
      </c>
    </row>
    <row r="460" ht="15.75" customHeight="1" s="149">
      <c r="A460" s="209" t="n"/>
      <c r="B460" s="190">
        <f>IF(ISNUMBER(A460),YEAR(A460)&amp;"-"&amp;TEXT(MONTH(A460),"00"),"")</f>
        <v/>
      </c>
      <c r="J460">
        <f>IF(G460="","",IF(F460="User1",G460,IF(F460="User2",0,IF(I460="Да",G460*'⚙️ Настройки'!B15,G460*0.5))))</f>
        <v/>
      </c>
      <c r="K460">
        <f>IF(G460="","",IF(F460="User2",G460,IF(F460="User1",0,IF(I460="Да",G460*'⚙️ Настройки'!B16,G460*0.5))))</f>
        <v/>
      </c>
    </row>
    <row r="461" ht="15.75" customHeight="1" s="149">
      <c r="A461" s="209" t="n"/>
      <c r="B461" s="190">
        <f>IF(ISNUMBER(A461),YEAR(A461)&amp;"-"&amp;TEXT(MONTH(A461),"00"),"")</f>
        <v/>
      </c>
      <c r="J461">
        <f>IF(G461="","",IF(F461="User1",G461,IF(F461="User2",0,IF(I461="Да",G461*'⚙️ Настройки'!B15,G461*0.5))))</f>
        <v/>
      </c>
      <c r="K461">
        <f>IF(G461="","",IF(F461="User2",G461,IF(F461="User1",0,IF(I461="Да",G461*'⚙️ Настройки'!B16,G461*0.5))))</f>
        <v/>
      </c>
    </row>
    <row r="462" ht="15.75" customHeight="1" s="149">
      <c r="A462" s="209" t="n"/>
      <c r="B462" s="190">
        <f>IF(ISNUMBER(A462),YEAR(A462)&amp;"-"&amp;TEXT(MONTH(A462),"00"),"")</f>
        <v/>
      </c>
      <c r="J462">
        <f>IF(G462="","",IF(F462="User1",G462,IF(F462="User2",0,IF(I462="Да",G462*'⚙️ Настройки'!B15,G462*0.5))))</f>
        <v/>
      </c>
      <c r="K462">
        <f>IF(G462="","",IF(F462="User2",G462,IF(F462="User1",0,IF(I462="Да",G462*'⚙️ Настройки'!B16,G462*0.5))))</f>
        <v/>
      </c>
    </row>
    <row r="463" ht="15.75" customHeight="1" s="149">
      <c r="A463" s="209" t="n"/>
      <c r="B463" s="190">
        <f>IF(ISNUMBER(A463),YEAR(A463)&amp;"-"&amp;TEXT(MONTH(A463),"00"),"")</f>
        <v/>
      </c>
      <c r="J463">
        <f>IF(G463="","",IF(F463="User1",G463,IF(F463="User2",0,IF(I463="Да",G463*'⚙️ Настройки'!B15,G463*0.5))))</f>
        <v/>
      </c>
      <c r="K463">
        <f>IF(G463="","",IF(F463="User2",G463,IF(F463="User1",0,IF(I463="Да",G463*'⚙️ Настройки'!B16,G463*0.5))))</f>
        <v/>
      </c>
    </row>
    <row r="464" ht="15.75" customHeight="1" s="149">
      <c r="A464" s="209" t="n"/>
      <c r="B464" s="190">
        <f>IF(ISNUMBER(A464),YEAR(A464)&amp;"-"&amp;TEXT(MONTH(A464),"00"),"")</f>
        <v/>
      </c>
      <c r="J464">
        <f>IF(G464="","",IF(F464="User1",G464,IF(F464="User2",0,IF(I464="Да",G464*'⚙️ Настройки'!B15,G464*0.5))))</f>
        <v/>
      </c>
      <c r="K464">
        <f>IF(G464="","",IF(F464="User2",G464,IF(F464="User1",0,IF(I464="Да",G464*'⚙️ Настройки'!B16,G464*0.5))))</f>
        <v/>
      </c>
    </row>
    <row r="465" ht="15.75" customHeight="1" s="149">
      <c r="A465" s="209" t="n"/>
      <c r="B465" s="190">
        <f>IF(ISNUMBER(A465),YEAR(A465)&amp;"-"&amp;TEXT(MONTH(A465),"00"),"")</f>
        <v/>
      </c>
      <c r="J465">
        <f>IF(G465="","",IF(F465="User1",G465,IF(F465="User2",0,IF(I465="Да",G465*'⚙️ Настройки'!B15,G465*0.5))))</f>
        <v/>
      </c>
      <c r="K465">
        <f>IF(G465="","",IF(F465="User2",G465,IF(F465="User1",0,IF(I465="Да",G465*'⚙️ Настройки'!B16,G465*0.5))))</f>
        <v/>
      </c>
    </row>
    <row r="466" ht="15.75" customHeight="1" s="149">
      <c r="A466" s="209" t="n"/>
      <c r="B466" s="190">
        <f>IF(ISNUMBER(A466),YEAR(A466)&amp;"-"&amp;TEXT(MONTH(A466),"00"),"")</f>
        <v/>
      </c>
      <c r="J466">
        <f>IF(G466="","",IF(F466="User1",G466,IF(F466="User2",0,IF(I466="Да",G466*'⚙️ Настройки'!B15,G466*0.5))))</f>
        <v/>
      </c>
      <c r="K466">
        <f>IF(G466="","",IF(F466="User2",G466,IF(F466="User1",0,IF(I466="Да",G466*'⚙️ Настройки'!B16,G466*0.5))))</f>
        <v/>
      </c>
    </row>
    <row r="467" ht="15.75" customHeight="1" s="149">
      <c r="A467" s="209" t="n"/>
      <c r="B467" s="190">
        <f>IF(ISNUMBER(A467),YEAR(A467)&amp;"-"&amp;TEXT(MONTH(A467),"00"),"")</f>
        <v/>
      </c>
      <c r="J467">
        <f>IF(G467="","",IF(F467="User1",G467,IF(F467="User2",0,IF(I467="Да",G467*'⚙️ Настройки'!B15,G467*0.5))))</f>
        <v/>
      </c>
      <c r="K467">
        <f>IF(G467="","",IF(F467="User2",G467,IF(F467="User1",0,IF(I467="Да",G467*'⚙️ Настройки'!B16,G467*0.5))))</f>
        <v/>
      </c>
    </row>
    <row r="468" ht="15.75" customHeight="1" s="149">
      <c r="A468" s="209" t="n"/>
      <c r="B468" s="190">
        <f>IF(ISNUMBER(A468),YEAR(A468)&amp;"-"&amp;TEXT(MONTH(A468),"00"),"")</f>
        <v/>
      </c>
      <c r="J468">
        <f>IF(G468="","",IF(F468="User1",G468,IF(F468="User2",0,IF(I468="Да",G468*'⚙️ Настройки'!B15,G468*0.5))))</f>
        <v/>
      </c>
      <c r="K468">
        <f>IF(G468="","",IF(F468="User2",G468,IF(F468="User1",0,IF(I468="Да",G468*'⚙️ Настройки'!B16,G468*0.5))))</f>
        <v/>
      </c>
    </row>
    <row r="469" ht="15.75" customHeight="1" s="149">
      <c r="A469" s="209" t="n"/>
      <c r="B469" s="190">
        <f>IF(ISNUMBER(A469),YEAR(A469)&amp;"-"&amp;TEXT(MONTH(A469),"00"),"")</f>
        <v/>
      </c>
      <c r="J469">
        <f>IF(G469="","",IF(F469="User1",G469,IF(F469="User2",0,IF(I469="Да",G469*'⚙️ Настройки'!B15,G469*0.5))))</f>
        <v/>
      </c>
      <c r="K469">
        <f>IF(G469="","",IF(F469="User2",G469,IF(F469="User1",0,IF(I469="Да",G469*'⚙️ Настройки'!B16,G469*0.5))))</f>
        <v/>
      </c>
    </row>
    <row r="470" ht="15.75" customHeight="1" s="149">
      <c r="A470" s="209" t="n"/>
      <c r="B470" s="190">
        <f>IF(ISNUMBER(A470),YEAR(A470)&amp;"-"&amp;TEXT(MONTH(A470),"00"),"")</f>
        <v/>
      </c>
      <c r="J470">
        <f>IF(G470="","",IF(F470="User1",G470,IF(F470="User2",0,IF(I470="Да",G470*'⚙️ Настройки'!B15,G470*0.5))))</f>
        <v/>
      </c>
      <c r="K470">
        <f>IF(G470="","",IF(F470="User2",G470,IF(F470="User1",0,IF(I470="Да",G470*'⚙️ Настройки'!B16,G470*0.5))))</f>
        <v/>
      </c>
    </row>
    <row r="471" ht="15.75" customHeight="1" s="149">
      <c r="A471" s="209" t="n"/>
      <c r="B471" s="190">
        <f>IF(ISNUMBER(A471),YEAR(A471)&amp;"-"&amp;TEXT(MONTH(A471),"00"),"")</f>
        <v/>
      </c>
      <c r="J471">
        <f>IF(G471="","",IF(F471="User1",G471,IF(F471="User2",0,IF(I471="Да",G471*'⚙️ Настройки'!B15,G471*0.5))))</f>
        <v/>
      </c>
      <c r="K471">
        <f>IF(G471="","",IF(F471="User2",G471,IF(F471="User1",0,IF(I471="Да",G471*'⚙️ Настройки'!B16,G471*0.5))))</f>
        <v/>
      </c>
    </row>
    <row r="472" ht="15.75" customHeight="1" s="149">
      <c r="A472" s="209" t="n"/>
      <c r="B472" s="190">
        <f>IF(ISNUMBER(A472),YEAR(A472)&amp;"-"&amp;TEXT(MONTH(A472),"00"),"")</f>
        <v/>
      </c>
      <c r="J472">
        <f>IF(G472="","",IF(F472="User1",G472,IF(F472="User2",0,IF(I472="Да",G472*'⚙️ Настройки'!B15,G472*0.5))))</f>
        <v/>
      </c>
      <c r="K472">
        <f>IF(G472="","",IF(F472="User2",G472,IF(F472="User1",0,IF(I472="Да",G472*'⚙️ Настройки'!B16,G472*0.5))))</f>
        <v/>
      </c>
    </row>
    <row r="473" ht="15.75" customHeight="1" s="149">
      <c r="A473" s="209" t="n"/>
      <c r="B473" s="190">
        <f>IF(ISNUMBER(A473),YEAR(A473)&amp;"-"&amp;TEXT(MONTH(A473),"00"),"")</f>
        <v/>
      </c>
      <c r="J473">
        <f>IF(G473="","",IF(F473="User1",G473,IF(F473="User2",0,IF(I473="Да",G473*'⚙️ Настройки'!B15,G473*0.5))))</f>
        <v/>
      </c>
      <c r="K473">
        <f>IF(G473="","",IF(F473="User2",G473,IF(F473="User1",0,IF(I473="Да",G473*'⚙️ Настройки'!B16,G473*0.5))))</f>
        <v/>
      </c>
    </row>
    <row r="474" ht="15.75" customHeight="1" s="149">
      <c r="A474" s="209" t="n"/>
      <c r="B474" s="190">
        <f>IF(ISNUMBER(A474),YEAR(A474)&amp;"-"&amp;TEXT(MONTH(A474),"00"),"")</f>
        <v/>
      </c>
      <c r="J474">
        <f>IF(G474="","",IF(F474="User1",G474,IF(F474="User2",0,IF(I474="Да",G474*'⚙️ Настройки'!B15,G474*0.5))))</f>
        <v/>
      </c>
      <c r="K474">
        <f>IF(G474="","",IF(F474="User2",G474,IF(F474="User1",0,IF(I474="Да",G474*'⚙️ Настройки'!B16,G474*0.5))))</f>
        <v/>
      </c>
    </row>
    <row r="475" ht="15.75" customHeight="1" s="149">
      <c r="A475" s="209" t="n"/>
      <c r="B475" s="190">
        <f>IF(ISNUMBER(A475),YEAR(A475)&amp;"-"&amp;TEXT(MONTH(A475),"00"),"")</f>
        <v/>
      </c>
      <c r="J475">
        <f>IF(G475="","",IF(F475="User1",G475,IF(F475="User2",0,IF(I475="Да",G475*'⚙️ Настройки'!B15,G475*0.5))))</f>
        <v/>
      </c>
      <c r="K475">
        <f>IF(G475="","",IF(F475="User2",G475,IF(F475="User1",0,IF(I475="Да",G475*'⚙️ Настройки'!B16,G475*0.5))))</f>
        <v/>
      </c>
    </row>
    <row r="476" ht="15.75" customHeight="1" s="149">
      <c r="A476" s="209" t="n"/>
      <c r="B476" s="190">
        <f>IF(ISNUMBER(A476),YEAR(A476)&amp;"-"&amp;TEXT(MONTH(A476),"00"),"")</f>
        <v/>
      </c>
      <c r="J476">
        <f>IF(G476="","",IF(F476="User1",G476,IF(F476="User2",0,IF(I476="Да",G476*'⚙️ Настройки'!B15,G476*0.5))))</f>
        <v/>
      </c>
      <c r="K476">
        <f>IF(G476="","",IF(F476="User2",G476,IF(F476="User1",0,IF(I476="Да",G476*'⚙️ Настройки'!B16,G476*0.5))))</f>
        <v/>
      </c>
    </row>
    <row r="477" ht="15.75" customHeight="1" s="149">
      <c r="A477" s="209" t="n"/>
      <c r="B477" s="190">
        <f>IF(ISNUMBER(A477),YEAR(A477)&amp;"-"&amp;TEXT(MONTH(A477),"00"),"")</f>
        <v/>
      </c>
      <c r="J477">
        <f>IF(G477="","",IF(F477="User1",G477,IF(F477="User2",0,IF(I477="Да",G477*'⚙️ Настройки'!B15,G477*0.5))))</f>
        <v/>
      </c>
      <c r="K477">
        <f>IF(G477="","",IF(F477="User2",G477,IF(F477="User1",0,IF(I477="Да",G477*'⚙️ Настройки'!B16,G477*0.5))))</f>
        <v/>
      </c>
    </row>
    <row r="478" ht="15.75" customHeight="1" s="149">
      <c r="A478" s="209" t="n"/>
      <c r="B478" s="190">
        <f>IF(ISNUMBER(A478),YEAR(A478)&amp;"-"&amp;TEXT(MONTH(A478),"00"),"")</f>
        <v/>
      </c>
      <c r="J478">
        <f>IF(G478="","",IF(F478="User1",G478,IF(F478="User2",0,IF(I478="Да",G478*'⚙️ Настройки'!B15,G478*0.5))))</f>
        <v/>
      </c>
      <c r="K478">
        <f>IF(G478="","",IF(F478="User2",G478,IF(F478="User1",0,IF(I478="Да",G478*'⚙️ Настройки'!B16,G478*0.5))))</f>
        <v/>
      </c>
    </row>
    <row r="479" ht="15.75" customHeight="1" s="149">
      <c r="A479" s="209" t="n"/>
      <c r="B479" s="190">
        <f>IF(ISNUMBER(A479),YEAR(A479)&amp;"-"&amp;TEXT(MONTH(A479),"00"),"")</f>
        <v/>
      </c>
      <c r="J479">
        <f>IF(G479="","",IF(F479="User1",G479,IF(F479="User2",0,IF(I479="Да",G479*'⚙️ Настройки'!B15,G479*0.5))))</f>
        <v/>
      </c>
      <c r="K479">
        <f>IF(G479="","",IF(F479="User2",G479,IF(F479="User1",0,IF(I479="Да",G479*'⚙️ Настройки'!B16,G479*0.5))))</f>
        <v/>
      </c>
    </row>
    <row r="480" ht="15.75" customHeight="1" s="149">
      <c r="A480" s="209" t="n"/>
      <c r="B480" s="190">
        <f>IF(ISNUMBER(A480),YEAR(A480)&amp;"-"&amp;TEXT(MONTH(A480),"00"),"")</f>
        <v/>
      </c>
      <c r="J480">
        <f>IF(G480="","",IF(F480="User1",G480,IF(F480="User2",0,IF(I480="Да",G480*'⚙️ Настройки'!B15,G480*0.5))))</f>
        <v/>
      </c>
      <c r="K480">
        <f>IF(G480="","",IF(F480="User2",G480,IF(F480="User1",0,IF(I480="Да",G480*'⚙️ Настройки'!B16,G480*0.5))))</f>
        <v/>
      </c>
    </row>
    <row r="481" ht="15.75" customHeight="1" s="149">
      <c r="A481" s="209" t="n"/>
      <c r="B481" s="190">
        <f>IF(ISNUMBER(A481),YEAR(A481)&amp;"-"&amp;TEXT(MONTH(A481),"00"),"")</f>
        <v/>
      </c>
      <c r="J481">
        <f>IF(G481="","",IF(F481="User1",G481,IF(F481="User2",0,IF(I481="Да",G481*'⚙️ Настройки'!B15,G481*0.5))))</f>
        <v/>
      </c>
      <c r="K481">
        <f>IF(G481="","",IF(F481="User2",G481,IF(F481="User1",0,IF(I481="Да",G481*'⚙️ Настройки'!B16,G481*0.5))))</f>
        <v/>
      </c>
    </row>
    <row r="482" ht="15.75" customHeight="1" s="149">
      <c r="A482" s="209" t="n"/>
      <c r="B482" s="190">
        <f>IF(ISNUMBER(A482),YEAR(A482)&amp;"-"&amp;TEXT(MONTH(A482),"00"),"")</f>
        <v/>
      </c>
      <c r="J482">
        <f>IF(G482="","",IF(F482="User1",G482,IF(F482="User2",0,IF(I482="Да",G482*'⚙️ Настройки'!B15,G482*0.5))))</f>
        <v/>
      </c>
      <c r="K482">
        <f>IF(G482="","",IF(F482="User2",G482,IF(F482="User1",0,IF(I482="Да",G482*'⚙️ Настройки'!B16,G482*0.5))))</f>
        <v/>
      </c>
    </row>
    <row r="483" ht="15.75" customHeight="1" s="149">
      <c r="A483" s="209" t="n"/>
      <c r="B483" s="190">
        <f>IF(ISNUMBER(A483),YEAR(A483)&amp;"-"&amp;TEXT(MONTH(A483),"00"),"")</f>
        <v/>
      </c>
      <c r="J483">
        <f>IF(G483="","",IF(F483="User1",G483,IF(F483="User2",0,IF(I483="Да",G483*'⚙️ Настройки'!B15,G483*0.5))))</f>
        <v/>
      </c>
      <c r="K483">
        <f>IF(G483="","",IF(F483="User2",G483,IF(F483="User1",0,IF(I483="Да",G483*'⚙️ Настройки'!B16,G483*0.5))))</f>
        <v/>
      </c>
    </row>
    <row r="484" ht="15.75" customHeight="1" s="149">
      <c r="A484" s="209" t="n"/>
      <c r="B484" s="190">
        <f>IF(ISNUMBER(A484),YEAR(A484)&amp;"-"&amp;TEXT(MONTH(A484),"00"),"")</f>
        <v/>
      </c>
      <c r="J484">
        <f>IF(G484="","",IF(F484="User1",G484,IF(F484="User2",0,IF(I484="Да",G484*'⚙️ Настройки'!B15,G484*0.5))))</f>
        <v/>
      </c>
      <c r="K484">
        <f>IF(G484="","",IF(F484="User2",G484,IF(F484="User1",0,IF(I484="Да",G484*'⚙️ Настройки'!B16,G484*0.5))))</f>
        <v/>
      </c>
    </row>
    <row r="485" ht="15.75" customHeight="1" s="149">
      <c r="A485" s="209" t="n"/>
      <c r="B485" s="190">
        <f>IF(ISNUMBER(A485),YEAR(A485)&amp;"-"&amp;TEXT(MONTH(A485),"00"),"")</f>
        <v/>
      </c>
      <c r="J485">
        <f>IF(G485="","",IF(F485="User1",G485,IF(F485="User2",0,IF(I485="Да",G485*'⚙️ Настройки'!B15,G485*0.5))))</f>
        <v/>
      </c>
      <c r="K485">
        <f>IF(G485="","",IF(F485="User2",G485,IF(F485="User1",0,IF(I485="Да",G485*'⚙️ Настройки'!B16,G485*0.5))))</f>
        <v/>
      </c>
    </row>
    <row r="486" ht="15.75" customHeight="1" s="149">
      <c r="A486" s="209" t="n"/>
      <c r="B486" s="190">
        <f>IF(ISNUMBER(A486),YEAR(A486)&amp;"-"&amp;TEXT(MONTH(A486),"00"),"")</f>
        <v/>
      </c>
      <c r="J486">
        <f>IF(G486="","",IF(F486="User1",G486,IF(F486="User2",0,IF(I486="Да",G486*'⚙️ Настройки'!B15,G486*0.5))))</f>
        <v/>
      </c>
      <c r="K486">
        <f>IF(G486="","",IF(F486="User2",G486,IF(F486="User1",0,IF(I486="Да",G486*'⚙️ Настройки'!B16,G486*0.5))))</f>
        <v/>
      </c>
    </row>
    <row r="487" ht="15.75" customHeight="1" s="149">
      <c r="A487" s="209" t="n"/>
      <c r="B487" s="190">
        <f>IF(ISNUMBER(A487),YEAR(A487)&amp;"-"&amp;TEXT(MONTH(A487),"00"),"")</f>
        <v/>
      </c>
      <c r="J487">
        <f>IF(G487="","",IF(F487="User1",G487,IF(F487="User2",0,IF(I487="Да",G487*'⚙️ Настройки'!B15,G487*0.5))))</f>
        <v/>
      </c>
      <c r="K487">
        <f>IF(G487="","",IF(F487="User2",G487,IF(F487="User1",0,IF(I487="Да",G487*'⚙️ Настройки'!B16,G487*0.5))))</f>
        <v/>
      </c>
    </row>
    <row r="488" ht="15.75" customHeight="1" s="149">
      <c r="A488" s="209" t="n"/>
      <c r="B488" s="190">
        <f>IF(ISNUMBER(A488),YEAR(A488)&amp;"-"&amp;TEXT(MONTH(A488),"00"),"")</f>
        <v/>
      </c>
      <c r="J488">
        <f>IF(G488="","",IF(F488="User1",G488,IF(F488="User2",0,IF(I488="Да",G488*'⚙️ Настройки'!B15,G488*0.5))))</f>
        <v/>
      </c>
      <c r="K488">
        <f>IF(G488="","",IF(F488="User2",G488,IF(F488="User1",0,IF(I488="Да",G488*'⚙️ Настройки'!B16,G488*0.5))))</f>
        <v/>
      </c>
    </row>
    <row r="489" ht="15.75" customHeight="1" s="149">
      <c r="A489" s="209" t="n"/>
      <c r="B489" s="190">
        <f>IF(ISNUMBER(A489),YEAR(A489)&amp;"-"&amp;TEXT(MONTH(A489),"00"),"")</f>
        <v/>
      </c>
      <c r="J489">
        <f>IF(G489="","",IF(F489="User1",G489,IF(F489="User2",0,IF(I489="Да",G489*'⚙️ Настройки'!B15,G489*0.5))))</f>
        <v/>
      </c>
      <c r="K489">
        <f>IF(G489="","",IF(F489="User2",G489,IF(F489="User1",0,IF(I489="Да",G489*'⚙️ Настройки'!B16,G489*0.5))))</f>
        <v/>
      </c>
    </row>
    <row r="490" ht="15.75" customHeight="1" s="149">
      <c r="A490" s="209" t="n"/>
      <c r="B490" s="190">
        <f>IF(ISNUMBER(A490),YEAR(A490)&amp;"-"&amp;TEXT(MONTH(A490),"00"),"")</f>
        <v/>
      </c>
      <c r="J490">
        <f>IF(G490="","",IF(F490="User1",G490,IF(F490="User2",0,IF(I490="Да",G490*'⚙️ Настройки'!B15,G490*0.5))))</f>
        <v/>
      </c>
      <c r="K490">
        <f>IF(G490="","",IF(F490="User2",G490,IF(F490="User1",0,IF(I490="Да",G490*'⚙️ Настройки'!B16,G490*0.5))))</f>
        <v/>
      </c>
    </row>
    <row r="491" ht="15.75" customHeight="1" s="149">
      <c r="A491" s="209" t="n"/>
      <c r="B491" s="190">
        <f>IF(ISNUMBER(A491),YEAR(A491)&amp;"-"&amp;TEXT(MONTH(A491),"00"),"")</f>
        <v/>
      </c>
      <c r="J491">
        <f>IF(G491="","",IF(F491="User1",G491,IF(F491="User2",0,IF(I491="Да",G491*'⚙️ Настройки'!B15,G491*0.5))))</f>
        <v/>
      </c>
      <c r="K491">
        <f>IF(G491="","",IF(F491="User2",G491,IF(F491="User1",0,IF(I491="Да",G491*'⚙️ Настройки'!B16,G491*0.5))))</f>
        <v/>
      </c>
    </row>
    <row r="492" ht="15.75" customHeight="1" s="149">
      <c r="A492" s="209" t="n"/>
      <c r="B492" s="190">
        <f>IF(ISNUMBER(A492),YEAR(A492)&amp;"-"&amp;TEXT(MONTH(A492),"00"),"")</f>
        <v/>
      </c>
      <c r="J492">
        <f>IF(G492="","",IF(F492="User1",G492,IF(F492="User2",0,IF(I492="Да",G492*'⚙️ Настройки'!B15,G492*0.5))))</f>
        <v/>
      </c>
      <c r="K492">
        <f>IF(G492="","",IF(F492="User2",G492,IF(F492="User1",0,IF(I492="Да",G492*'⚙️ Настройки'!B16,G492*0.5))))</f>
        <v/>
      </c>
    </row>
    <row r="493" ht="15.75" customHeight="1" s="149">
      <c r="A493" s="209" t="n"/>
      <c r="B493" s="190">
        <f>IF(ISNUMBER(A493),YEAR(A493)&amp;"-"&amp;TEXT(MONTH(A493),"00"),"")</f>
        <v/>
      </c>
      <c r="J493">
        <f>IF(G493="","",IF(F493="User1",G493,IF(F493="User2",0,IF(I493="Да",G493*'⚙️ Настройки'!B15,G493*0.5))))</f>
        <v/>
      </c>
      <c r="K493">
        <f>IF(G493="","",IF(F493="User2",G493,IF(F493="User1",0,IF(I493="Да",G493*'⚙️ Настройки'!B16,G493*0.5))))</f>
        <v/>
      </c>
    </row>
    <row r="494" ht="15.75" customHeight="1" s="149">
      <c r="A494" s="209" t="n"/>
      <c r="B494" s="190">
        <f>IF(ISNUMBER(A494),YEAR(A494)&amp;"-"&amp;TEXT(MONTH(A494),"00"),"")</f>
        <v/>
      </c>
      <c r="J494">
        <f>IF(G494="","",IF(F494="User1",G494,IF(F494="User2",0,IF(I494="Да",G494*'⚙️ Настройки'!B15,G494*0.5))))</f>
        <v/>
      </c>
      <c r="K494">
        <f>IF(G494="","",IF(F494="User2",G494,IF(F494="User1",0,IF(I494="Да",G494*'⚙️ Настройки'!B16,G494*0.5))))</f>
        <v/>
      </c>
    </row>
    <row r="495" ht="15.75" customHeight="1" s="149">
      <c r="A495" s="209" t="n"/>
      <c r="B495" s="190">
        <f>IF(ISNUMBER(A495),YEAR(A495)&amp;"-"&amp;TEXT(MONTH(A495),"00"),"")</f>
        <v/>
      </c>
      <c r="J495">
        <f>IF(G495="","",IF(F495="User1",G495,IF(F495="User2",0,IF(I495="Да",G495*'⚙️ Настройки'!B15,G495*0.5))))</f>
        <v/>
      </c>
      <c r="K495">
        <f>IF(G495="","",IF(F495="User2",G495,IF(F495="User1",0,IF(I495="Да",G495*'⚙️ Настройки'!B16,G495*0.5))))</f>
        <v/>
      </c>
    </row>
    <row r="496" ht="15.75" customHeight="1" s="149">
      <c r="A496" s="209" t="n"/>
      <c r="B496" s="190">
        <f>IF(ISNUMBER(A496),YEAR(A496)&amp;"-"&amp;TEXT(MONTH(A496),"00"),"")</f>
        <v/>
      </c>
      <c r="J496">
        <f>IF(G496="","",IF(F496="User1",G496,IF(F496="User2",0,IF(I496="Да",G496*'⚙️ Настройки'!B15,G496*0.5))))</f>
        <v/>
      </c>
      <c r="K496">
        <f>IF(G496="","",IF(F496="User2",G496,IF(F496="User1",0,IF(I496="Да",G496*'⚙️ Настройки'!B16,G496*0.5))))</f>
        <v/>
      </c>
    </row>
    <row r="497" ht="15.75" customHeight="1" s="149">
      <c r="A497" s="209" t="n"/>
      <c r="B497" s="190">
        <f>IF(ISNUMBER(A497),YEAR(A497)&amp;"-"&amp;TEXT(MONTH(A497),"00"),"")</f>
        <v/>
      </c>
      <c r="J497">
        <f>IF(G497="","",IF(F497="User1",G497,IF(F497="User2",0,IF(I497="Да",G497*'⚙️ Настройки'!B15,G497*0.5))))</f>
        <v/>
      </c>
      <c r="K497">
        <f>IF(G497="","",IF(F497="User2",G497,IF(F497="User1",0,IF(I497="Да",G497*'⚙️ Настройки'!B16,G497*0.5))))</f>
        <v/>
      </c>
    </row>
    <row r="498" ht="15.75" customHeight="1" s="149">
      <c r="A498" s="209" t="n"/>
      <c r="B498" s="190">
        <f>IF(ISNUMBER(A498),YEAR(A498)&amp;"-"&amp;TEXT(MONTH(A498),"00"),"")</f>
        <v/>
      </c>
      <c r="J498">
        <f>IF(G498="","",IF(F498="User1",G498,IF(F498="User2",0,IF(I498="Да",G498*'⚙️ Настройки'!B15,G498*0.5))))</f>
        <v/>
      </c>
      <c r="K498">
        <f>IF(G498="","",IF(F498="User2",G498,IF(F498="User1",0,IF(I498="Да",G498*'⚙️ Настройки'!B16,G498*0.5))))</f>
        <v/>
      </c>
    </row>
    <row r="499" ht="15.75" customHeight="1" s="149">
      <c r="A499" s="209" t="n"/>
      <c r="B499" s="190">
        <f>IF(ISNUMBER(A499),YEAR(A499)&amp;"-"&amp;TEXT(MONTH(A499),"00"),"")</f>
        <v/>
      </c>
      <c r="J499">
        <f>IF(G499="","",IF(F499="User1",G499,IF(F499="User2",0,IF(I499="Да",G499*'⚙️ Настройки'!B15,G499*0.5))))</f>
        <v/>
      </c>
      <c r="K499">
        <f>IF(G499="","",IF(F499="User2",G499,IF(F499="User1",0,IF(I499="Да",G499*'⚙️ Настройки'!B16,G499*0.5))))</f>
        <v/>
      </c>
    </row>
    <row r="500" ht="15.75" customHeight="1" s="149">
      <c r="A500" s="209" t="n"/>
      <c r="B500" s="190">
        <f>IF(ISNUMBER(A500),YEAR(A500)&amp;"-"&amp;TEXT(MONTH(A500),"00"),"")</f>
        <v/>
      </c>
      <c r="J500">
        <f>IF(G500="","",IF(F500="User1",G500,IF(F500="User2",0,IF(I500="Да",G500*'⚙️ Настройки'!B15,G500*0.5))))</f>
        <v/>
      </c>
      <c r="K500">
        <f>IF(G500="","",IF(F500="User2",G500,IF(F500="User1",0,IF(I500="Да",G500*'⚙️ Настройки'!B16,G500*0.5))))</f>
        <v/>
      </c>
    </row>
    <row r="501" ht="15.75" customHeight="1" s="149">
      <c r="A501" s="209" t="n"/>
      <c r="B501" s="190">
        <f>IF(ISNUMBER(A501),YEAR(A501)&amp;"-"&amp;TEXT(MONTH(A501),"00"),"")</f>
        <v/>
      </c>
      <c r="J501">
        <f>IF(G501="","",IF(F501="User1",G501,IF(F501="User2",0,IF(I501="Да",G501*'⚙️ Настройки'!B15,G501*0.5))))</f>
        <v/>
      </c>
      <c r="K501">
        <f>IF(G501="","",IF(F501="User2",G501,IF(F501="User1",0,IF(I501="Да",G501*'⚙️ Настройки'!B16,G501*0.5))))</f>
        <v/>
      </c>
    </row>
    <row r="502" ht="15.75" customHeight="1" s="149">
      <c r="A502" s="209" t="n"/>
      <c r="B502" s="190">
        <f>IF(ISNUMBER(A502),YEAR(A502)&amp;"-"&amp;TEXT(MONTH(A502),"00"),"")</f>
        <v/>
      </c>
      <c r="J502">
        <f>IF(G502="","",IF(F502="User1",G502,IF(F502="User2",0,IF(I502="Да",G502*'⚙️ Настройки'!B15,G502*0.5))))</f>
        <v/>
      </c>
      <c r="K502">
        <f>IF(G502="","",IF(F502="User2",G502,IF(F502="User1",0,IF(I502="Да",G502*'⚙️ Настройки'!B16,G502*0.5))))</f>
        <v/>
      </c>
    </row>
    <row r="503" ht="15.75" customHeight="1" s="149">
      <c r="A503" s="209" t="n"/>
      <c r="B503" s="190">
        <f>IF(ISNUMBER(A503),YEAR(A503)&amp;"-"&amp;TEXT(MONTH(A503),"00"),"")</f>
        <v/>
      </c>
      <c r="J503">
        <f>IF(G503="","",IF(F503="User1",G503,IF(F503="User2",0,IF(I503="Да",G503*'⚙️ Настройки'!B15,G503*0.5))))</f>
        <v/>
      </c>
      <c r="K503">
        <f>IF(G503="","",IF(F503="User2",G503,IF(F503="User1",0,IF(I503="Да",G503*'⚙️ Настройки'!B16,G503*0.5))))</f>
        <v/>
      </c>
    </row>
    <row r="504" ht="15.75" customHeight="1" s="149">
      <c r="A504" s="209" t="n"/>
      <c r="B504" s="190">
        <f>IF(ISNUMBER(A504),YEAR(A504)&amp;"-"&amp;TEXT(MONTH(A504),"00"),"")</f>
        <v/>
      </c>
      <c r="J504">
        <f>IF(G504="","",IF(F504="User1",G504,IF(F504="User2",0,IF(I504="Да",G504*'⚙️ Настройки'!B15,G504*0.5))))</f>
        <v/>
      </c>
      <c r="K504">
        <f>IF(G504="","",IF(F504="User2",G504,IF(F504="User1",0,IF(I504="Да",G504*'⚙️ Настройки'!B16,G504*0.5))))</f>
        <v/>
      </c>
    </row>
    <row r="505" ht="15.75" customHeight="1" s="149">
      <c r="A505" s="209" t="n"/>
      <c r="B505" s="190">
        <f>IF(ISNUMBER(A505),YEAR(A505)&amp;"-"&amp;TEXT(MONTH(A505),"00"),"")</f>
        <v/>
      </c>
      <c r="J505">
        <f>IF(G505="","",IF(F505="User1",G505,IF(F505="User2",0,IF(I505="Да",G505*'⚙️ Настройки'!B15,G505*0.5))))</f>
        <v/>
      </c>
      <c r="K505">
        <f>IF(G505="","",IF(F505="User2",G505,IF(F505="User1",0,IF(I505="Да",G505*'⚙️ Настройки'!B16,G505*0.5))))</f>
        <v/>
      </c>
    </row>
    <row r="506" ht="15.75" customHeight="1" s="149">
      <c r="A506" s="209" t="n"/>
      <c r="B506" s="190">
        <f>IF(ISNUMBER(A506),YEAR(A506)&amp;"-"&amp;TEXT(MONTH(A506),"00"),"")</f>
        <v/>
      </c>
      <c r="J506">
        <f>IF(G506="","",IF(F506="User1",G506,IF(F506="User2",0,IF(I506="Да",G506*'⚙️ Настройки'!B15,G506*0.5))))</f>
        <v/>
      </c>
      <c r="K506">
        <f>IF(G506="","",IF(F506="User2",G506,IF(F506="User1",0,IF(I506="Да",G506*'⚙️ Настройки'!B16,G506*0.5))))</f>
        <v/>
      </c>
    </row>
    <row r="507" ht="15.75" customHeight="1" s="149">
      <c r="A507" s="209" t="n"/>
      <c r="B507" s="190">
        <f>IF(ISNUMBER(A507),YEAR(A507)&amp;"-"&amp;TEXT(MONTH(A507),"00"),"")</f>
        <v/>
      </c>
      <c r="J507">
        <f>IF(G507="","",IF(F507="User1",G507,IF(F507="User2",0,IF(I507="Да",G507*'⚙️ Настройки'!B15,G507*0.5))))</f>
        <v/>
      </c>
      <c r="K507">
        <f>IF(G507="","",IF(F507="User2",G507,IF(F507="User1",0,IF(I507="Да",G507*'⚙️ Настройки'!B16,G507*0.5))))</f>
        <v/>
      </c>
    </row>
    <row r="508" ht="15.75" customHeight="1" s="149">
      <c r="A508" s="209" t="n"/>
      <c r="B508" s="190">
        <f>IF(ISNUMBER(A508),YEAR(A508)&amp;"-"&amp;TEXT(MONTH(A508),"00"),"")</f>
        <v/>
      </c>
      <c r="J508">
        <f>IF(G508="","",IF(F508="User1",G508,IF(F508="User2",0,IF(I508="Да",G508*'⚙️ Настройки'!B15,G508*0.5))))</f>
        <v/>
      </c>
      <c r="K508">
        <f>IF(G508="","",IF(F508="User2",G508,IF(F508="User1",0,IF(I508="Да",G508*'⚙️ Настройки'!B16,G508*0.5))))</f>
        <v/>
      </c>
    </row>
    <row r="509" ht="15.75" customHeight="1" s="149">
      <c r="A509" s="209" t="n"/>
      <c r="B509" s="190">
        <f>IF(ISNUMBER(A509),YEAR(A509)&amp;"-"&amp;TEXT(MONTH(A509),"00"),"")</f>
        <v/>
      </c>
      <c r="J509">
        <f>IF(G509="","",IF(F509="User1",G509,IF(F509="User2",0,IF(I509="Да",G509*'⚙️ Настройки'!B15,G509*0.5))))</f>
        <v/>
      </c>
      <c r="K509">
        <f>IF(G509="","",IF(F509="User2",G509,IF(F509="User1",0,IF(I509="Да",G509*'⚙️ Настройки'!B16,G509*0.5))))</f>
        <v/>
      </c>
    </row>
    <row r="510" ht="15.75" customHeight="1" s="149">
      <c r="A510" s="209" t="n"/>
      <c r="B510" s="190">
        <f>IF(ISNUMBER(A510),YEAR(A510)&amp;"-"&amp;TEXT(MONTH(A510),"00"),"")</f>
        <v/>
      </c>
      <c r="J510">
        <f>IF(G510="","",IF(F510="User1",G510,IF(F510="User2",0,IF(I510="Да",G510*'⚙️ Настройки'!B15,G510*0.5))))</f>
        <v/>
      </c>
      <c r="K510">
        <f>IF(G510="","",IF(F510="User2",G510,IF(F510="User1",0,IF(I510="Да",G510*'⚙️ Настройки'!B16,G510*0.5))))</f>
        <v/>
      </c>
    </row>
    <row r="511" ht="15.75" customHeight="1" s="149">
      <c r="A511" s="209" t="n"/>
      <c r="B511" s="190">
        <f>IF(ISNUMBER(A511),YEAR(A511)&amp;"-"&amp;TEXT(MONTH(A511),"00"),"")</f>
        <v/>
      </c>
      <c r="J511">
        <f>IF(G511="","",IF(F511="User1",G511,IF(F511="User2",0,IF(I511="Да",G511*'⚙️ Настройки'!B15,G511*0.5))))</f>
        <v/>
      </c>
      <c r="K511">
        <f>IF(G511="","",IF(F511="User2",G511,IF(F511="User1",0,IF(I511="Да",G511*'⚙️ Настройки'!B16,G511*0.5))))</f>
        <v/>
      </c>
    </row>
    <row r="512" ht="15.75" customHeight="1" s="149">
      <c r="A512" s="209" t="n"/>
      <c r="B512" s="190">
        <f>IF(ISNUMBER(A512),YEAR(A512)&amp;"-"&amp;TEXT(MONTH(A512),"00"),"")</f>
        <v/>
      </c>
      <c r="J512">
        <f>IF(G512="","",IF(F512="User1",G512,IF(F512="User2",0,IF(I512="Да",G512*'⚙️ Настройки'!B15,G512*0.5))))</f>
        <v/>
      </c>
      <c r="K512">
        <f>IF(G512="","",IF(F512="User2",G512,IF(F512="User1",0,IF(I512="Да",G512*'⚙️ Настройки'!B16,G512*0.5))))</f>
        <v/>
      </c>
    </row>
    <row r="513" ht="15.75" customHeight="1" s="149">
      <c r="A513" s="209" t="n"/>
      <c r="B513" s="190">
        <f>IF(ISNUMBER(A513),YEAR(A513)&amp;"-"&amp;TEXT(MONTH(A513),"00"),"")</f>
        <v/>
      </c>
      <c r="J513">
        <f>IF(G513="","",IF(F513="User1",G513,IF(F513="User2",0,IF(I513="Да",G513*'⚙️ Настройки'!B15,G513*0.5))))</f>
        <v/>
      </c>
      <c r="K513">
        <f>IF(G513="","",IF(F513="User2",G513,IF(F513="User1",0,IF(I513="Да",G513*'⚙️ Настройки'!B16,G513*0.5))))</f>
        <v/>
      </c>
    </row>
    <row r="514" ht="15.75" customHeight="1" s="149">
      <c r="A514" s="209" t="n"/>
      <c r="B514" s="190">
        <f>IF(ISNUMBER(A514),YEAR(A514)&amp;"-"&amp;TEXT(MONTH(A514),"00"),"")</f>
        <v/>
      </c>
      <c r="J514">
        <f>IF(G514="","",IF(F514="User1",G514,IF(F514="User2",0,IF(I514="Да",G514*'⚙️ Настройки'!B15,G514*0.5))))</f>
        <v/>
      </c>
      <c r="K514">
        <f>IF(G514="","",IF(F514="User2",G514,IF(F514="User1",0,IF(I514="Да",G514*'⚙️ Настройки'!B16,G514*0.5))))</f>
        <v/>
      </c>
    </row>
    <row r="515" ht="15.75" customHeight="1" s="149">
      <c r="A515" s="209" t="n"/>
      <c r="B515" s="190">
        <f>IF(ISNUMBER(A515),YEAR(A515)&amp;"-"&amp;TEXT(MONTH(A515),"00"),"")</f>
        <v/>
      </c>
      <c r="J515">
        <f>IF(G515="","",IF(F515="User1",G515,IF(F515="User2",0,IF(I515="Да",G515*'⚙️ Настройки'!B15,G515*0.5))))</f>
        <v/>
      </c>
      <c r="K515">
        <f>IF(G515="","",IF(F515="User2",G515,IF(F515="User1",0,IF(I515="Да",G515*'⚙️ Настройки'!B16,G515*0.5))))</f>
        <v/>
      </c>
    </row>
    <row r="516" ht="15.75" customHeight="1" s="149">
      <c r="A516" s="209" t="n"/>
      <c r="B516" s="190">
        <f>IF(ISNUMBER(A516),YEAR(A516)&amp;"-"&amp;TEXT(MONTH(A516),"00"),"")</f>
        <v/>
      </c>
      <c r="J516">
        <f>IF(G516="","",IF(F516="User1",G516,IF(F516="User2",0,IF(I516="Да",G516*'⚙️ Настройки'!B15,G516*0.5))))</f>
        <v/>
      </c>
      <c r="K516">
        <f>IF(G516="","",IF(F516="User2",G516,IF(F516="User1",0,IF(I516="Да",G516*'⚙️ Настройки'!B16,G516*0.5))))</f>
        <v/>
      </c>
    </row>
    <row r="517" ht="15.75" customHeight="1" s="149">
      <c r="A517" s="209" t="n"/>
      <c r="B517" s="190">
        <f>IF(ISNUMBER(A517),YEAR(A517)&amp;"-"&amp;TEXT(MONTH(A517),"00"),"")</f>
        <v/>
      </c>
      <c r="J517">
        <f>IF(G517="","",IF(F517="User1",G517,IF(F517="User2",0,IF(I517="Да",G517*'⚙️ Настройки'!B15,G517*0.5))))</f>
        <v/>
      </c>
      <c r="K517">
        <f>IF(G517="","",IF(F517="User2",G517,IF(F517="User1",0,IF(I517="Да",G517*'⚙️ Настройки'!B16,G517*0.5))))</f>
        <v/>
      </c>
    </row>
    <row r="518" ht="15.75" customHeight="1" s="149">
      <c r="A518" s="209" t="n"/>
      <c r="B518" s="190">
        <f>IF(ISNUMBER(A518),YEAR(A518)&amp;"-"&amp;TEXT(MONTH(A518),"00"),"")</f>
        <v/>
      </c>
      <c r="J518">
        <f>IF(G518="","",IF(F518="User1",G518,IF(F518="User2",0,IF(I518="Да",G518*'⚙️ Настройки'!B15,G518*0.5))))</f>
        <v/>
      </c>
      <c r="K518">
        <f>IF(G518="","",IF(F518="User2",G518,IF(F518="User1",0,IF(I518="Да",G518*'⚙️ Настройки'!B16,G518*0.5))))</f>
        <v/>
      </c>
    </row>
    <row r="519" ht="15.75" customHeight="1" s="149">
      <c r="A519" s="209" t="n"/>
      <c r="B519" s="190">
        <f>IF(ISNUMBER(A519),YEAR(A519)&amp;"-"&amp;TEXT(MONTH(A519),"00"),"")</f>
        <v/>
      </c>
      <c r="J519">
        <f>IF(G519="","",IF(F519="User1",G519,IF(F519="User2",0,IF(I519="Да",G519*'⚙️ Настройки'!B15,G519*0.5))))</f>
        <v/>
      </c>
      <c r="K519">
        <f>IF(G519="","",IF(F519="User2",G519,IF(F519="User1",0,IF(I519="Да",G519*'⚙️ Настройки'!B16,G519*0.5))))</f>
        <v/>
      </c>
    </row>
    <row r="520" ht="15.75" customHeight="1" s="149">
      <c r="A520" s="209" t="n"/>
      <c r="B520" s="190">
        <f>IF(ISNUMBER(A520),YEAR(A520)&amp;"-"&amp;TEXT(MONTH(A520),"00"),"")</f>
        <v/>
      </c>
      <c r="J520">
        <f>IF(G520="","",IF(F520="User1",G520,IF(F520="User2",0,IF(I520="Да",G520*'⚙️ Настройки'!B15,G520*0.5))))</f>
        <v/>
      </c>
      <c r="K520">
        <f>IF(G520="","",IF(F520="User2",G520,IF(F520="User1",0,IF(I520="Да",G520*'⚙️ Настройки'!B16,G520*0.5))))</f>
        <v/>
      </c>
    </row>
    <row r="521" ht="15.75" customHeight="1" s="149">
      <c r="A521" s="209" t="n"/>
      <c r="B521" s="190">
        <f>IF(ISNUMBER(A521),YEAR(A521)&amp;"-"&amp;TEXT(MONTH(A521),"00"),"")</f>
        <v/>
      </c>
      <c r="J521">
        <f>IF(G521="","",IF(F521="User1",G521,IF(F521="User2",0,IF(I521="Да",G521*'⚙️ Настройки'!B15,G521*0.5))))</f>
        <v/>
      </c>
      <c r="K521">
        <f>IF(G521="","",IF(F521="User2",G521,IF(F521="User1",0,IF(I521="Да",G521*'⚙️ Настройки'!B16,G521*0.5))))</f>
        <v/>
      </c>
    </row>
    <row r="522" ht="15.75" customHeight="1" s="149">
      <c r="A522" s="209" t="n"/>
      <c r="B522" s="190">
        <f>IF(ISNUMBER(A522),YEAR(A522)&amp;"-"&amp;TEXT(MONTH(A522),"00"),"")</f>
        <v/>
      </c>
      <c r="J522">
        <f>IF(G522="","",IF(F522="User1",G522,IF(F522="User2",0,IF(I522="Да",G522*'⚙️ Настройки'!B15,G522*0.5))))</f>
        <v/>
      </c>
      <c r="K522">
        <f>IF(G522="","",IF(F522="User2",G522,IF(F522="User1",0,IF(I522="Да",G522*'⚙️ Настройки'!B16,G522*0.5))))</f>
        <v/>
      </c>
    </row>
    <row r="523" ht="15.75" customHeight="1" s="149">
      <c r="A523" s="209" t="n"/>
      <c r="B523" s="190">
        <f>IF(ISNUMBER(A523),YEAR(A523)&amp;"-"&amp;TEXT(MONTH(A523),"00"),"")</f>
        <v/>
      </c>
      <c r="J523">
        <f>IF(G523="","",IF(F523="User1",G523,IF(F523="User2",0,IF(I523="Да",G523*'⚙️ Настройки'!B15,G523*0.5))))</f>
        <v/>
      </c>
      <c r="K523">
        <f>IF(G523="","",IF(F523="User2",G523,IF(F523="User1",0,IF(I523="Да",G523*'⚙️ Настройки'!B16,G523*0.5))))</f>
        <v/>
      </c>
    </row>
    <row r="524" ht="15.75" customHeight="1" s="149">
      <c r="A524" s="209" t="n"/>
      <c r="B524" s="190">
        <f>IF(ISNUMBER(A524),YEAR(A524)&amp;"-"&amp;TEXT(MONTH(A524),"00"),"")</f>
        <v/>
      </c>
      <c r="J524">
        <f>IF(G524="","",IF(F524="User1",G524,IF(F524="User2",0,IF(I524="Да",G524*'⚙️ Настройки'!B15,G524*0.5))))</f>
        <v/>
      </c>
      <c r="K524">
        <f>IF(G524="","",IF(F524="User2",G524,IF(F524="User1",0,IF(I524="Да",G524*'⚙️ Настройки'!B16,G524*0.5))))</f>
        <v/>
      </c>
    </row>
    <row r="525" ht="15.75" customHeight="1" s="149">
      <c r="A525" s="209" t="n"/>
      <c r="B525" s="190">
        <f>IF(ISNUMBER(A525),YEAR(A525)&amp;"-"&amp;TEXT(MONTH(A525),"00"),"")</f>
        <v/>
      </c>
      <c r="J525">
        <f>IF(G525="","",IF(F525="User1",G525,IF(F525="User2",0,IF(I525="Да",G525*'⚙️ Настройки'!B15,G525*0.5))))</f>
        <v/>
      </c>
      <c r="K525">
        <f>IF(G525="","",IF(F525="User2",G525,IF(F525="User1",0,IF(I525="Да",G525*'⚙️ Настройки'!B16,G525*0.5))))</f>
        <v/>
      </c>
    </row>
    <row r="526" ht="15.75" customHeight="1" s="149">
      <c r="A526" s="209" t="n"/>
      <c r="B526" s="190">
        <f>IF(ISNUMBER(A526),YEAR(A526)&amp;"-"&amp;TEXT(MONTH(A526),"00"),"")</f>
        <v/>
      </c>
      <c r="J526">
        <f>IF(G526="","",IF(F526="User1",G526,IF(F526="User2",0,IF(I526="Да",G526*'⚙️ Настройки'!B15,G526*0.5))))</f>
        <v/>
      </c>
      <c r="K526">
        <f>IF(G526="","",IF(F526="User2",G526,IF(F526="User1",0,IF(I526="Да",G526*'⚙️ Настройки'!B16,G526*0.5))))</f>
        <v/>
      </c>
    </row>
    <row r="527" ht="15.75" customHeight="1" s="149">
      <c r="A527" s="209" t="n"/>
      <c r="B527" s="190">
        <f>IF(ISNUMBER(A527),YEAR(A527)&amp;"-"&amp;TEXT(MONTH(A527),"00"),"")</f>
        <v/>
      </c>
      <c r="J527">
        <f>IF(G527="","",IF(F527="User1",G527,IF(F527="User2",0,IF(I527="Да",G527*'⚙️ Настройки'!B15,G527*0.5))))</f>
        <v/>
      </c>
      <c r="K527">
        <f>IF(G527="","",IF(F527="User2",G527,IF(F527="User1",0,IF(I527="Да",G527*'⚙️ Настройки'!B16,G527*0.5))))</f>
        <v/>
      </c>
    </row>
    <row r="528" ht="15.75" customHeight="1" s="149">
      <c r="A528" s="209" t="n"/>
      <c r="B528" s="190">
        <f>IF(ISNUMBER(A528),YEAR(A528)&amp;"-"&amp;TEXT(MONTH(A528),"00"),"")</f>
        <v/>
      </c>
      <c r="J528">
        <f>IF(G528="","",IF(F528="User1",G528,IF(F528="User2",0,IF(I528="Да",G528*'⚙️ Настройки'!B15,G528*0.5))))</f>
        <v/>
      </c>
      <c r="K528">
        <f>IF(G528="","",IF(F528="User2",G528,IF(F528="User1",0,IF(I528="Да",G528*'⚙️ Настройки'!B16,G528*0.5))))</f>
        <v/>
      </c>
    </row>
    <row r="529" ht="15.75" customHeight="1" s="149">
      <c r="A529" s="209" t="n"/>
      <c r="B529" s="190">
        <f>IF(ISNUMBER(A529),YEAR(A529)&amp;"-"&amp;TEXT(MONTH(A529),"00"),"")</f>
        <v/>
      </c>
      <c r="J529">
        <f>IF(G529="","",IF(F529="User1",G529,IF(F529="User2",0,IF(I529="Да",G529*'⚙️ Настройки'!B15,G529*0.5))))</f>
        <v/>
      </c>
      <c r="K529">
        <f>IF(G529="","",IF(F529="User2",G529,IF(F529="User1",0,IF(I529="Да",G529*'⚙️ Настройки'!B16,G529*0.5))))</f>
        <v/>
      </c>
    </row>
    <row r="530" ht="15.75" customHeight="1" s="149">
      <c r="A530" s="209" t="n"/>
      <c r="B530" s="190">
        <f>IF(ISNUMBER(A530),YEAR(A530)&amp;"-"&amp;TEXT(MONTH(A530),"00"),"")</f>
        <v/>
      </c>
      <c r="J530">
        <f>IF(G530="","",IF(F530="User1",G530,IF(F530="User2",0,IF(I530="Да",G530*'⚙️ Настройки'!B15,G530*0.5))))</f>
        <v/>
      </c>
      <c r="K530">
        <f>IF(G530="","",IF(F530="User2",G530,IF(F530="User1",0,IF(I530="Да",G530*'⚙️ Настройки'!B16,G530*0.5))))</f>
        <v/>
      </c>
    </row>
    <row r="531" ht="15.75" customHeight="1" s="149">
      <c r="A531" s="209" t="n"/>
      <c r="B531" s="190">
        <f>IF(ISNUMBER(A531),YEAR(A531)&amp;"-"&amp;TEXT(MONTH(A531),"00"),"")</f>
        <v/>
      </c>
      <c r="J531">
        <f>IF(G531="","",IF(F531="User1",G531,IF(F531="User2",0,IF(I531="Да",G531*'⚙️ Настройки'!B15,G531*0.5))))</f>
        <v/>
      </c>
      <c r="K531">
        <f>IF(G531="","",IF(F531="User2",G531,IF(F531="User1",0,IF(I531="Да",G531*'⚙️ Настройки'!B16,G531*0.5))))</f>
        <v/>
      </c>
    </row>
    <row r="532" ht="15.75" customHeight="1" s="149">
      <c r="A532" s="209" t="n"/>
      <c r="B532" s="190">
        <f>IF(ISNUMBER(A532),YEAR(A532)&amp;"-"&amp;TEXT(MONTH(A532),"00"),"")</f>
        <v/>
      </c>
      <c r="J532">
        <f>IF(G532="","",IF(F532="User1",G532,IF(F532="User2",0,IF(I532="Да",G532*'⚙️ Настройки'!B15,G532*0.5))))</f>
        <v/>
      </c>
      <c r="K532">
        <f>IF(G532="","",IF(F532="User2",G532,IF(F532="User1",0,IF(I532="Да",G532*'⚙️ Настройки'!B16,G532*0.5))))</f>
        <v/>
      </c>
    </row>
    <row r="533" ht="15.75" customHeight="1" s="149">
      <c r="A533" s="209" t="n"/>
      <c r="B533" s="190">
        <f>IF(ISNUMBER(A533),YEAR(A533)&amp;"-"&amp;TEXT(MONTH(A533),"00"),"")</f>
        <v/>
      </c>
      <c r="J533">
        <f>IF(G533="","",IF(F533="User1",G533,IF(F533="User2",0,IF(I533="Да",G533*'⚙️ Настройки'!B15,G533*0.5))))</f>
        <v/>
      </c>
      <c r="K533">
        <f>IF(G533="","",IF(F533="User2",G533,IF(F533="User1",0,IF(I533="Да",G533*'⚙️ Настройки'!B16,G533*0.5))))</f>
        <v/>
      </c>
    </row>
    <row r="534" ht="15.75" customHeight="1" s="149">
      <c r="A534" s="209" t="n"/>
      <c r="B534" s="190">
        <f>IF(ISNUMBER(A534),YEAR(A534)&amp;"-"&amp;TEXT(MONTH(A534),"00"),"")</f>
        <v/>
      </c>
      <c r="J534">
        <f>IF(G534="","",IF(F534="User1",G534,IF(F534="User2",0,IF(I534="Да",G534*'⚙️ Настройки'!B15,G534*0.5))))</f>
        <v/>
      </c>
      <c r="K534">
        <f>IF(G534="","",IF(F534="User2",G534,IF(F534="User1",0,IF(I534="Да",G534*'⚙️ Настройки'!B16,G534*0.5))))</f>
        <v/>
      </c>
    </row>
    <row r="535" ht="15.75" customHeight="1" s="149">
      <c r="A535" s="209" t="n"/>
      <c r="B535" s="190">
        <f>IF(ISNUMBER(A535),YEAR(A535)&amp;"-"&amp;TEXT(MONTH(A535),"00"),"")</f>
        <v/>
      </c>
      <c r="J535">
        <f>IF(G535="","",IF(F535="User1",G535,IF(F535="User2",0,IF(I535="Да",G535*'⚙️ Настройки'!B15,G535*0.5))))</f>
        <v/>
      </c>
      <c r="K535">
        <f>IF(G535="","",IF(F535="User2",G535,IF(F535="User1",0,IF(I535="Да",G535*'⚙️ Настройки'!B16,G535*0.5))))</f>
        <v/>
      </c>
    </row>
    <row r="536" ht="15.75" customHeight="1" s="149">
      <c r="A536" s="209" t="n"/>
      <c r="B536" s="190">
        <f>IF(ISNUMBER(A536),YEAR(A536)&amp;"-"&amp;TEXT(MONTH(A536),"00"),"")</f>
        <v/>
      </c>
      <c r="J536">
        <f>IF(G536="","",IF(F536="User1",G536,IF(F536="User2",0,IF(I536="Да",G536*'⚙️ Настройки'!B15,G536*0.5))))</f>
        <v/>
      </c>
      <c r="K536">
        <f>IF(G536="","",IF(F536="User2",G536,IF(F536="User1",0,IF(I536="Да",G536*'⚙️ Настройки'!B16,G536*0.5))))</f>
        <v/>
      </c>
    </row>
    <row r="537" ht="15.75" customHeight="1" s="149">
      <c r="A537" s="209" t="n"/>
      <c r="B537" s="190">
        <f>IF(ISNUMBER(A537),YEAR(A537)&amp;"-"&amp;TEXT(MONTH(A537),"00"),"")</f>
        <v/>
      </c>
      <c r="J537">
        <f>IF(G537="","",IF(F537="User1",G537,IF(F537="User2",0,IF(I537="Да",G537*'⚙️ Настройки'!B15,G537*0.5))))</f>
        <v/>
      </c>
      <c r="K537">
        <f>IF(G537="","",IF(F537="User2",G537,IF(F537="User1",0,IF(I537="Да",G537*'⚙️ Настройки'!B16,G537*0.5))))</f>
        <v/>
      </c>
    </row>
    <row r="538" ht="15.75" customHeight="1" s="149">
      <c r="A538" s="209" t="n"/>
      <c r="B538" s="190">
        <f>IF(ISNUMBER(A538),YEAR(A538)&amp;"-"&amp;TEXT(MONTH(A538),"00"),"")</f>
        <v/>
      </c>
      <c r="J538">
        <f>IF(G538="","",IF(F538="User1",G538,IF(F538="User2",0,IF(I538="Да",G538*'⚙️ Настройки'!B15,G538*0.5))))</f>
        <v/>
      </c>
      <c r="K538">
        <f>IF(G538="","",IF(F538="User2",G538,IF(F538="User1",0,IF(I538="Да",G538*'⚙️ Настройки'!B16,G538*0.5))))</f>
        <v/>
      </c>
    </row>
    <row r="539" ht="15.75" customHeight="1" s="149">
      <c r="A539" s="209" t="n"/>
      <c r="B539" s="190">
        <f>IF(ISNUMBER(A539),YEAR(A539)&amp;"-"&amp;TEXT(MONTH(A539),"00"),"")</f>
        <v/>
      </c>
      <c r="J539">
        <f>IF(G539="","",IF(F539="User1",G539,IF(F539="User2",0,IF(I539="Да",G539*'⚙️ Настройки'!B15,G539*0.5))))</f>
        <v/>
      </c>
      <c r="K539">
        <f>IF(G539="","",IF(F539="User2",G539,IF(F539="User1",0,IF(I539="Да",G539*'⚙️ Настройки'!B16,G539*0.5))))</f>
        <v/>
      </c>
    </row>
    <row r="540" ht="15.75" customHeight="1" s="149">
      <c r="A540" s="209" t="n"/>
      <c r="B540" s="190">
        <f>IF(ISNUMBER(A540),YEAR(A540)&amp;"-"&amp;TEXT(MONTH(A540),"00"),"")</f>
        <v/>
      </c>
      <c r="J540">
        <f>IF(G540="","",IF(F540="User1",G540,IF(F540="User2",0,IF(I540="Да",G540*'⚙️ Настройки'!B15,G540*0.5))))</f>
        <v/>
      </c>
      <c r="K540">
        <f>IF(G540="","",IF(F540="User2",G540,IF(F540="User1",0,IF(I540="Да",G540*'⚙️ Настройки'!B16,G540*0.5))))</f>
        <v/>
      </c>
    </row>
    <row r="541" ht="15.75" customHeight="1" s="149">
      <c r="A541" s="209" t="n"/>
      <c r="B541" s="190">
        <f>IF(ISNUMBER(A541),YEAR(A541)&amp;"-"&amp;TEXT(MONTH(A541),"00"),"")</f>
        <v/>
      </c>
      <c r="J541">
        <f>IF(G541="","",IF(F541="User1",G541,IF(F541="User2",0,IF(I541="Да",G541*'⚙️ Настройки'!B15,G541*0.5))))</f>
        <v/>
      </c>
      <c r="K541">
        <f>IF(G541="","",IF(F541="User2",G541,IF(F541="User1",0,IF(I541="Да",G541*'⚙️ Настройки'!B16,G541*0.5))))</f>
        <v/>
      </c>
    </row>
    <row r="542" ht="15.75" customHeight="1" s="149">
      <c r="A542" s="209" t="n"/>
      <c r="B542" s="190">
        <f>IF(ISNUMBER(A542),YEAR(A542)&amp;"-"&amp;TEXT(MONTH(A542),"00"),"")</f>
        <v/>
      </c>
      <c r="J542">
        <f>IF(G542="","",IF(F542="User1",G542,IF(F542="User2",0,IF(I542="Да",G542*'⚙️ Настройки'!B15,G542*0.5))))</f>
        <v/>
      </c>
      <c r="K542">
        <f>IF(G542="","",IF(F542="User2",G542,IF(F542="User1",0,IF(I542="Да",G542*'⚙️ Настройки'!B16,G542*0.5))))</f>
        <v/>
      </c>
    </row>
    <row r="543" ht="15.75" customHeight="1" s="149">
      <c r="A543" s="209" t="n"/>
      <c r="B543" s="190">
        <f>IF(ISNUMBER(A543),YEAR(A543)&amp;"-"&amp;TEXT(MONTH(A543),"00"),"")</f>
        <v/>
      </c>
      <c r="J543">
        <f>IF(G543="","",IF(F543="User1",G543,IF(F543="User2",0,IF(I543="Да",G543*'⚙️ Настройки'!B15,G543*0.5))))</f>
        <v/>
      </c>
      <c r="K543">
        <f>IF(G543="","",IF(F543="User2",G543,IF(F543="User1",0,IF(I543="Да",G543*'⚙️ Настройки'!B16,G543*0.5))))</f>
        <v/>
      </c>
    </row>
    <row r="544" ht="15.75" customHeight="1" s="149">
      <c r="A544" s="209" t="n"/>
      <c r="B544" s="190">
        <f>IF(ISNUMBER(A544),YEAR(A544)&amp;"-"&amp;TEXT(MONTH(A544),"00"),"")</f>
        <v/>
      </c>
      <c r="J544">
        <f>IF(G544="","",IF(F544="User1",G544,IF(F544="User2",0,IF(I544="Да",G544*'⚙️ Настройки'!B15,G544*0.5))))</f>
        <v/>
      </c>
      <c r="K544">
        <f>IF(G544="","",IF(F544="User2",G544,IF(F544="User1",0,IF(I544="Да",G544*'⚙️ Настройки'!B16,G544*0.5))))</f>
        <v/>
      </c>
    </row>
    <row r="545" ht="15.75" customHeight="1" s="149">
      <c r="A545" s="209" t="n"/>
      <c r="B545" s="190">
        <f>IF(ISNUMBER(A545),YEAR(A545)&amp;"-"&amp;TEXT(MONTH(A545),"00"),"")</f>
        <v/>
      </c>
      <c r="J545">
        <f>IF(G545="","",IF(F545="User1",G545,IF(F545="User2",0,IF(I545="Да",G545*'⚙️ Настройки'!B15,G545*0.5))))</f>
        <v/>
      </c>
      <c r="K545">
        <f>IF(G545="","",IF(F545="User2",G545,IF(F545="User1",0,IF(I545="Да",G545*'⚙️ Настройки'!B16,G545*0.5))))</f>
        <v/>
      </c>
    </row>
    <row r="546" ht="15.75" customHeight="1" s="149">
      <c r="A546" s="209" t="n"/>
      <c r="B546" s="190">
        <f>IF(ISNUMBER(A546),YEAR(A546)&amp;"-"&amp;TEXT(MONTH(A546),"00"),"")</f>
        <v/>
      </c>
      <c r="J546">
        <f>IF(G546="","",IF(F546="User1",G546,IF(F546="User2",0,IF(I546="Да",G546*'⚙️ Настройки'!B15,G546*0.5))))</f>
        <v/>
      </c>
      <c r="K546">
        <f>IF(G546="","",IF(F546="User2",G546,IF(F546="User1",0,IF(I546="Да",G546*'⚙️ Настройки'!B16,G546*0.5))))</f>
        <v/>
      </c>
    </row>
    <row r="547" ht="15.75" customHeight="1" s="149">
      <c r="A547" s="209" t="n"/>
      <c r="B547" s="190">
        <f>IF(ISNUMBER(A547),YEAR(A547)&amp;"-"&amp;TEXT(MONTH(A547),"00"),"")</f>
        <v/>
      </c>
      <c r="J547">
        <f>IF(G547="","",IF(F547="User1",G547,IF(F547="User2",0,IF(I547="Да",G547*'⚙️ Настройки'!B15,G547*0.5))))</f>
        <v/>
      </c>
      <c r="K547">
        <f>IF(G547="","",IF(F547="User2",G547,IF(F547="User1",0,IF(I547="Да",G547*'⚙️ Настройки'!B16,G547*0.5))))</f>
        <v/>
      </c>
    </row>
    <row r="548" ht="15.75" customHeight="1" s="149">
      <c r="A548" s="209" t="n"/>
      <c r="B548" s="190">
        <f>IF(ISNUMBER(A548),YEAR(A548)&amp;"-"&amp;TEXT(MONTH(A548),"00"),"")</f>
        <v/>
      </c>
      <c r="J548">
        <f>IF(G548="","",IF(F548="User1",G548,IF(F548="User2",0,IF(I548="Да",G548*'⚙️ Настройки'!B15,G548*0.5))))</f>
        <v/>
      </c>
      <c r="K548">
        <f>IF(G548="","",IF(F548="User2",G548,IF(F548="User1",0,IF(I548="Да",G548*'⚙️ Настройки'!B16,G548*0.5))))</f>
        <v/>
      </c>
    </row>
    <row r="549" ht="15.75" customHeight="1" s="149">
      <c r="A549" s="209" t="n"/>
      <c r="B549" s="190">
        <f>IF(ISNUMBER(A549),YEAR(A549)&amp;"-"&amp;TEXT(MONTH(A549),"00"),"")</f>
        <v/>
      </c>
      <c r="J549">
        <f>IF(G549="","",IF(F549="User1",G549,IF(F549="User2",0,IF(I549="Да",G549*'⚙️ Настройки'!B15,G549*0.5))))</f>
        <v/>
      </c>
      <c r="K549">
        <f>IF(G549="","",IF(F549="User2",G549,IF(F549="User1",0,IF(I549="Да",G549*'⚙️ Настройки'!B16,G549*0.5))))</f>
        <v/>
      </c>
    </row>
    <row r="550" ht="15.75" customHeight="1" s="149">
      <c r="A550" s="209" t="n"/>
      <c r="B550" s="190">
        <f>IF(ISNUMBER(A550),YEAR(A550)&amp;"-"&amp;TEXT(MONTH(A550),"00"),"")</f>
        <v/>
      </c>
      <c r="J550">
        <f>IF(G550="","",IF(F550="User1",G550,IF(F550="User2",0,IF(I550="Да",G550*'⚙️ Настройки'!B15,G550*0.5))))</f>
        <v/>
      </c>
      <c r="K550">
        <f>IF(G550="","",IF(F550="User2",G550,IF(F550="User1",0,IF(I550="Да",G550*'⚙️ Настройки'!B16,G550*0.5))))</f>
        <v/>
      </c>
    </row>
    <row r="551" ht="15.75" customHeight="1" s="149">
      <c r="A551" s="209" t="n"/>
      <c r="B551" s="190">
        <f>IF(ISNUMBER(A551),YEAR(A551)&amp;"-"&amp;TEXT(MONTH(A551),"00"),"")</f>
        <v/>
      </c>
      <c r="J551">
        <f>IF(G551="","",IF(F551="User1",G551,IF(F551="User2",0,IF(I551="Да",G551*'⚙️ Настройки'!B15,G551*0.5))))</f>
        <v/>
      </c>
      <c r="K551">
        <f>IF(G551="","",IF(F551="User2",G551,IF(F551="User1",0,IF(I551="Да",G551*'⚙️ Настройки'!B16,G551*0.5))))</f>
        <v/>
      </c>
    </row>
    <row r="552" ht="15.75" customHeight="1" s="149">
      <c r="A552" s="209" t="n"/>
      <c r="B552" s="190">
        <f>IF(ISNUMBER(A552),YEAR(A552)&amp;"-"&amp;TEXT(MONTH(A552),"00"),"")</f>
        <v/>
      </c>
      <c r="J552">
        <f>IF(G552="","",IF(F552="User1",G552,IF(F552="User2",0,IF(I552="Да",G552*'⚙️ Настройки'!B15,G552*0.5))))</f>
        <v/>
      </c>
      <c r="K552">
        <f>IF(G552="","",IF(F552="User2",G552,IF(F552="User1",0,IF(I552="Да",G552*'⚙️ Настройки'!B16,G552*0.5))))</f>
        <v/>
      </c>
    </row>
    <row r="553" ht="15.75" customHeight="1" s="149">
      <c r="A553" s="209" t="n"/>
      <c r="B553" s="190">
        <f>IF(ISNUMBER(A553),YEAR(A553)&amp;"-"&amp;TEXT(MONTH(A553),"00"),"")</f>
        <v/>
      </c>
      <c r="J553">
        <f>IF(G553="","",IF(F553="User1",G553,IF(F553="User2",0,IF(I553="Да",G553*'⚙️ Настройки'!B15,G553*0.5))))</f>
        <v/>
      </c>
      <c r="K553">
        <f>IF(G553="","",IF(F553="User2",G553,IF(F553="User1",0,IF(I553="Да",G553*'⚙️ Настройки'!B16,G553*0.5))))</f>
        <v/>
      </c>
    </row>
    <row r="554" ht="15.75" customHeight="1" s="149">
      <c r="A554" s="209" t="n"/>
      <c r="B554" s="190">
        <f>IF(ISNUMBER(A554),YEAR(A554)&amp;"-"&amp;TEXT(MONTH(A554),"00"),"")</f>
        <v/>
      </c>
      <c r="J554">
        <f>IF(G554="","",IF(F554="User1",G554,IF(F554="User2",0,IF(I554="Да",G554*'⚙️ Настройки'!B15,G554*0.5))))</f>
        <v/>
      </c>
      <c r="K554">
        <f>IF(G554="","",IF(F554="User2",G554,IF(F554="User1",0,IF(I554="Да",G554*'⚙️ Настройки'!B16,G554*0.5))))</f>
        <v/>
      </c>
    </row>
    <row r="555" ht="15.75" customHeight="1" s="149">
      <c r="A555" s="209" t="n"/>
      <c r="B555" s="190">
        <f>IF(ISNUMBER(A555),YEAR(A555)&amp;"-"&amp;TEXT(MONTH(A555),"00"),"")</f>
        <v/>
      </c>
      <c r="J555">
        <f>IF(G555="","",IF(F555="User1",G555,IF(F555="User2",0,IF(I555="Да",G555*'⚙️ Настройки'!B15,G555*0.5))))</f>
        <v/>
      </c>
      <c r="K555">
        <f>IF(G555="","",IF(F555="User2",G555,IF(F555="User1",0,IF(I555="Да",G555*'⚙️ Настройки'!B16,G555*0.5))))</f>
        <v/>
      </c>
    </row>
    <row r="556" ht="15.75" customHeight="1" s="149">
      <c r="A556" s="209" t="n"/>
      <c r="B556" s="190">
        <f>IF(ISNUMBER(A556),YEAR(A556)&amp;"-"&amp;TEXT(MONTH(A556),"00"),"")</f>
        <v/>
      </c>
      <c r="J556">
        <f>IF(G556="","",IF(F556="User1",G556,IF(F556="User2",0,IF(I556="Да",G556*'⚙️ Настройки'!B15,G556*0.5))))</f>
        <v/>
      </c>
      <c r="K556">
        <f>IF(G556="","",IF(F556="User2",G556,IF(F556="User1",0,IF(I556="Да",G556*'⚙️ Настройки'!B16,G556*0.5))))</f>
        <v/>
      </c>
    </row>
    <row r="557" ht="15.75" customHeight="1" s="149">
      <c r="A557" s="209" t="n"/>
      <c r="B557" s="190">
        <f>IF(ISNUMBER(A557),YEAR(A557)&amp;"-"&amp;TEXT(MONTH(A557),"00"),"")</f>
        <v/>
      </c>
      <c r="J557">
        <f>IF(G557="","",IF(F557="User1",G557,IF(F557="User2",0,IF(I557="Да",G557*'⚙️ Настройки'!B15,G557*0.5))))</f>
        <v/>
      </c>
      <c r="K557">
        <f>IF(G557="","",IF(F557="User2",G557,IF(F557="User1",0,IF(I557="Да",G557*'⚙️ Настройки'!B16,G557*0.5))))</f>
        <v/>
      </c>
    </row>
    <row r="558" ht="15.75" customHeight="1" s="149">
      <c r="A558" s="209" t="n"/>
      <c r="B558" s="190">
        <f>IF(ISNUMBER(A558),YEAR(A558)&amp;"-"&amp;TEXT(MONTH(A558),"00"),"")</f>
        <v/>
      </c>
      <c r="J558">
        <f>IF(G558="","",IF(F558="User1",G558,IF(F558="User2",0,IF(I558="Да",G558*'⚙️ Настройки'!B15,G558*0.5))))</f>
        <v/>
      </c>
      <c r="K558">
        <f>IF(G558="","",IF(F558="User2",G558,IF(F558="User1",0,IF(I558="Да",G558*'⚙️ Настройки'!B16,G558*0.5))))</f>
        <v/>
      </c>
    </row>
    <row r="559" ht="15.75" customHeight="1" s="149">
      <c r="A559" s="209" t="n"/>
      <c r="B559" s="190">
        <f>IF(ISNUMBER(A559),YEAR(A559)&amp;"-"&amp;TEXT(MONTH(A559),"00"),"")</f>
        <v/>
      </c>
      <c r="J559">
        <f>IF(G559="","",IF(F559="User1",G559,IF(F559="User2",0,IF(I559="Да",G559*'⚙️ Настройки'!B15,G559*0.5))))</f>
        <v/>
      </c>
      <c r="K559">
        <f>IF(G559="","",IF(F559="User2",G559,IF(F559="User1",0,IF(I559="Да",G559*'⚙️ Настройки'!B16,G559*0.5))))</f>
        <v/>
      </c>
    </row>
    <row r="560" ht="15.75" customHeight="1" s="149">
      <c r="A560" s="209" t="n"/>
      <c r="B560" s="190">
        <f>IF(ISNUMBER(A560),YEAR(A560)&amp;"-"&amp;TEXT(MONTH(A560),"00"),"")</f>
        <v/>
      </c>
      <c r="J560">
        <f>IF(G560="","",IF(F560="User1",G560,IF(F560="User2",0,IF(I560="Да",G560*'⚙️ Настройки'!B15,G560*0.5))))</f>
        <v/>
      </c>
      <c r="K560">
        <f>IF(G560="","",IF(F560="User2",G560,IF(F560="User1",0,IF(I560="Да",G560*'⚙️ Настройки'!B16,G560*0.5))))</f>
        <v/>
      </c>
    </row>
    <row r="561" ht="15.75" customHeight="1" s="149">
      <c r="A561" s="209" t="n"/>
      <c r="B561" s="190">
        <f>IF(ISNUMBER(A561),YEAR(A561)&amp;"-"&amp;TEXT(MONTH(A561),"00"),"")</f>
        <v/>
      </c>
      <c r="J561">
        <f>IF(G561="","",IF(F561="User1",G561,IF(F561="User2",0,IF(I561="Да",G561*'⚙️ Настройки'!B15,G561*0.5))))</f>
        <v/>
      </c>
      <c r="K561">
        <f>IF(G561="","",IF(F561="User2",G561,IF(F561="User1",0,IF(I561="Да",G561*'⚙️ Настройки'!B16,G561*0.5))))</f>
        <v/>
      </c>
    </row>
    <row r="562" ht="15.75" customHeight="1" s="149">
      <c r="A562" s="209" t="n"/>
      <c r="B562" s="190">
        <f>IF(ISNUMBER(A562),YEAR(A562)&amp;"-"&amp;TEXT(MONTH(A562),"00"),"")</f>
        <v/>
      </c>
      <c r="J562">
        <f>IF(G562="","",IF(F562="User1",G562,IF(F562="User2",0,IF(I562="Да",G562*'⚙️ Настройки'!B15,G562*0.5))))</f>
        <v/>
      </c>
      <c r="K562">
        <f>IF(G562="","",IF(F562="User2",G562,IF(F562="User1",0,IF(I562="Да",G562*'⚙️ Настройки'!B16,G562*0.5))))</f>
        <v/>
      </c>
    </row>
    <row r="563" ht="15.75" customHeight="1" s="149">
      <c r="A563" s="209" t="n"/>
      <c r="B563" s="190">
        <f>IF(ISNUMBER(A563),YEAR(A563)&amp;"-"&amp;TEXT(MONTH(A563),"00"),"")</f>
        <v/>
      </c>
      <c r="J563">
        <f>IF(G563="","",IF(F563="User1",G563,IF(F563="User2",0,IF(I563="Да",G563*'⚙️ Настройки'!B15,G563*0.5))))</f>
        <v/>
      </c>
      <c r="K563">
        <f>IF(G563="","",IF(F563="User2",G563,IF(F563="User1",0,IF(I563="Да",G563*'⚙️ Настройки'!B16,G563*0.5))))</f>
        <v/>
      </c>
    </row>
    <row r="564" ht="15.75" customHeight="1" s="149">
      <c r="A564" s="209" t="n"/>
      <c r="B564" s="190">
        <f>IF(ISNUMBER(A564),YEAR(A564)&amp;"-"&amp;TEXT(MONTH(A564),"00"),"")</f>
        <v/>
      </c>
      <c r="J564">
        <f>IF(G564="","",IF(F564="User1",G564,IF(F564="User2",0,IF(I564="Да",G564*'⚙️ Настройки'!B15,G564*0.5))))</f>
        <v/>
      </c>
      <c r="K564">
        <f>IF(G564="","",IF(F564="User2",G564,IF(F564="User1",0,IF(I564="Да",G564*'⚙️ Настройки'!B16,G564*0.5))))</f>
        <v/>
      </c>
    </row>
    <row r="565" ht="15.75" customHeight="1" s="149">
      <c r="A565" s="209" t="n"/>
      <c r="B565" s="190">
        <f>IF(ISNUMBER(A565),YEAR(A565)&amp;"-"&amp;TEXT(MONTH(A565),"00"),"")</f>
        <v/>
      </c>
      <c r="J565">
        <f>IF(G565="","",IF(F565="User1",G565,IF(F565="User2",0,IF(I565="Да",G565*'⚙️ Настройки'!B15,G565*0.5))))</f>
        <v/>
      </c>
      <c r="K565">
        <f>IF(G565="","",IF(F565="User2",G565,IF(F565="User1",0,IF(I565="Да",G565*'⚙️ Настройки'!B16,G565*0.5))))</f>
        <v/>
      </c>
    </row>
    <row r="566" ht="15.75" customHeight="1" s="149">
      <c r="A566" s="209" t="n"/>
      <c r="B566" s="190">
        <f>IF(ISNUMBER(A566),YEAR(A566)&amp;"-"&amp;TEXT(MONTH(A566),"00"),"")</f>
        <v/>
      </c>
      <c r="J566">
        <f>IF(G566="","",IF(F566="User1",G566,IF(F566="User2",0,IF(I566="Да",G566*'⚙️ Настройки'!B15,G566*0.5))))</f>
        <v/>
      </c>
      <c r="K566">
        <f>IF(G566="","",IF(F566="User2",G566,IF(F566="User1",0,IF(I566="Да",G566*'⚙️ Настройки'!B16,G566*0.5))))</f>
        <v/>
      </c>
    </row>
    <row r="567" ht="15.75" customHeight="1" s="149">
      <c r="A567" s="209" t="n"/>
      <c r="B567" s="190">
        <f>IF(ISNUMBER(A567),YEAR(A567)&amp;"-"&amp;TEXT(MONTH(A567),"00"),"")</f>
        <v/>
      </c>
      <c r="J567">
        <f>IF(G567="","",IF(F567="User1",G567,IF(F567="User2",0,IF(I567="Да",G567*'⚙️ Настройки'!B15,G567*0.5))))</f>
        <v/>
      </c>
      <c r="K567">
        <f>IF(G567="","",IF(F567="User2",G567,IF(F567="User1",0,IF(I567="Да",G567*'⚙️ Настройки'!B16,G567*0.5))))</f>
        <v/>
      </c>
    </row>
    <row r="568" ht="15.75" customHeight="1" s="149">
      <c r="A568" s="209" t="n"/>
      <c r="B568" s="190">
        <f>IF(ISNUMBER(A568),YEAR(A568)&amp;"-"&amp;TEXT(MONTH(A568),"00"),"")</f>
        <v/>
      </c>
      <c r="J568">
        <f>IF(G568="","",IF(F568="User1",G568,IF(F568="User2",0,IF(I568="Да",G568*'⚙️ Настройки'!B15,G568*0.5))))</f>
        <v/>
      </c>
      <c r="K568">
        <f>IF(G568="","",IF(F568="User2",G568,IF(F568="User1",0,IF(I568="Да",G568*'⚙️ Настройки'!B16,G568*0.5))))</f>
        <v/>
      </c>
    </row>
    <row r="569" ht="15.75" customHeight="1" s="149">
      <c r="A569" s="209" t="n"/>
      <c r="B569" s="190">
        <f>IF(ISNUMBER(A569),YEAR(A569)&amp;"-"&amp;TEXT(MONTH(A569),"00"),"")</f>
        <v/>
      </c>
      <c r="J569">
        <f>IF(G569="","",IF(F569="User1",G569,IF(F569="User2",0,IF(I569="Да",G569*'⚙️ Настройки'!B15,G569*0.5))))</f>
        <v/>
      </c>
      <c r="K569">
        <f>IF(G569="","",IF(F569="User2",G569,IF(F569="User1",0,IF(I569="Да",G569*'⚙️ Настройки'!B16,G569*0.5))))</f>
        <v/>
      </c>
    </row>
    <row r="570" ht="15.75" customHeight="1" s="149">
      <c r="A570" s="209" t="n"/>
      <c r="B570" s="190">
        <f>IF(ISNUMBER(A570),YEAR(A570)&amp;"-"&amp;TEXT(MONTH(A570),"00"),"")</f>
        <v/>
      </c>
      <c r="J570">
        <f>IF(G570="","",IF(F570="User1",G570,IF(F570="User2",0,IF(I570="Да",G570*'⚙️ Настройки'!B15,G570*0.5))))</f>
        <v/>
      </c>
      <c r="K570">
        <f>IF(G570="","",IF(F570="User2",G570,IF(F570="User1",0,IF(I570="Да",G570*'⚙️ Настройки'!B16,G570*0.5))))</f>
        <v/>
      </c>
    </row>
    <row r="571" ht="15.75" customHeight="1" s="149">
      <c r="A571" s="209" t="n"/>
      <c r="B571" s="190">
        <f>IF(ISNUMBER(A571),YEAR(A571)&amp;"-"&amp;TEXT(MONTH(A571),"00"),"")</f>
        <v/>
      </c>
      <c r="J571">
        <f>IF(G571="","",IF(F571="User1",G571,IF(F571="User2",0,IF(I571="Да",G571*'⚙️ Настройки'!B15,G571*0.5))))</f>
        <v/>
      </c>
      <c r="K571">
        <f>IF(G571="","",IF(F571="User2",G571,IF(F571="User1",0,IF(I571="Да",G571*'⚙️ Настройки'!B16,G571*0.5))))</f>
        <v/>
      </c>
    </row>
    <row r="572" ht="15.75" customHeight="1" s="149">
      <c r="A572" s="209" t="n"/>
      <c r="B572" s="190">
        <f>IF(ISNUMBER(A572),YEAR(A572)&amp;"-"&amp;TEXT(MONTH(A572),"00"),"")</f>
        <v/>
      </c>
      <c r="J572">
        <f>IF(G572="","",IF(F572="User1",G572,IF(F572="User2",0,IF(I572="Да",G572*'⚙️ Настройки'!B15,G572*0.5))))</f>
        <v/>
      </c>
      <c r="K572">
        <f>IF(G572="","",IF(F572="User2",G572,IF(F572="User1",0,IF(I572="Да",G572*'⚙️ Настройки'!B16,G572*0.5))))</f>
        <v/>
      </c>
    </row>
    <row r="573" ht="15.75" customHeight="1" s="149">
      <c r="A573" s="209" t="n"/>
      <c r="B573" s="190">
        <f>IF(ISNUMBER(A573),YEAR(A573)&amp;"-"&amp;TEXT(MONTH(A573),"00"),"")</f>
        <v/>
      </c>
      <c r="J573">
        <f>IF(G573="","",IF(F573="User1",G573,IF(F573="User2",0,IF(I573="Да",G573*'⚙️ Настройки'!B15,G573*0.5))))</f>
        <v/>
      </c>
      <c r="K573">
        <f>IF(G573="","",IF(F573="User2",G573,IF(F573="User1",0,IF(I573="Да",G573*'⚙️ Настройки'!B16,G573*0.5))))</f>
        <v/>
      </c>
    </row>
    <row r="574" ht="15.75" customHeight="1" s="149">
      <c r="A574" s="209" t="n"/>
      <c r="B574" s="190">
        <f>IF(ISNUMBER(A574),YEAR(A574)&amp;"-"&amp;TEXT(MONTH(A574),"00"),"")</f>
        <v/>
      </c>
      <c r="J574">
        <f>IF(G574="","",IF(F574="User1",G574,IF(F574="User2",0,IF(I574="Да",G574*'⚙️ Настройки'!B15,G574*0.5))))</f>
        <v/>
      </c>
      <c r="K574">
        <f>IF(G574="","",IF(F574="User2",G574,IF(F574="User1",0,IF(I574="Да",G574*'⚙️ Настройки'!B16,G574*0.5))))</f>
        <v/>
      </c>
    </row>
    <row r="575" ht="15.75" customHeight="1" s="149">
      <c r="A575" s="209" t="n"/>
      <c r="B575" s="190">
        <f>IF(ISNUMBER(A575),YEAR(A575)&amp;"-"&amp;TEXT(MONTH(A575),"00"),"")</f>
        <v/>
      </c>
      <c r="J575">
        <f>IF(G575="","",IF(F575="User1",G575,IF(F575="User2",0,IF(I575="Да",G575*'⚙️ Настройки'!B15,G575*0.5))))</f>
        <v/>
      </c>
      <c r="K575">
        <f>IF(G575="","",IF(F575="User2",G575,IF(F575="User1",0,IF(I575="Да",G575*'⚙️ Настройки'!B16,G575*0.5))))</f>
        <v/>
      </c>
    </row>
    <row r="576" ht="15.75" customHeight="1" s="149">
      <c r="A576" s="209" t="n"/>
      <c r="B576" s="190">
        <f>IF(ISNUMBER(A576),YEAR(A576)&amp;"-"&amp;TEXT(MONTH(A576),"00"),"")</f>
        <v/>
      </c>
      <c r="J576">
        <f>IF(G576="","",IF(F576="User1",G576,IF(F576="User2",0,IF(I576="Да",G576*'⚙️ Настройки'!B15,G576*0.5))))</f>
        <v/>
      </c>
      <c r="K576">
        <f>IF(G576="","",IF(F576="User2",G576,IF(F576="User1",0,IF(I576="Да",G576*'⚙️ Настройки'!B16,G576*0.5))))</f>
        <v/>
      </c>
    </row>
    <row r="577" ht="15.75" customHeight="1" s="149">
      <c r="A577" s="209" t="n"/>
      <c r="B577" s="190">
        <f>IF(ISNUMBER(A577),YEAR(A577)&amp;"-"&amp;TEXT(MONTH(A577),"00"),"")</f>
        <v/>
      </c>
      <c r="J577">
        <f>IF(G577="","",IF(F577="User1",G577,IF(F577="User2",0,IF(I577="Да",G577*'⚙️ Настройки'!B15,G577*0.5))))</f>
        <v/>
      </c>
      <c r="K577">
        <f>IF(G577="","",IF(F577="User2",G577,IF(F577="User1",0,IF(I577="Да",G577*'⚙️ Настройки'!B16,G577*0.5))))</f>
        <v/>
      </c>
    </row>
    <row r="578" ht="15.75" customHeight="1" s="149">
      <c r="A578" s="209" t="n"/>
      <c r="B578" s="190">
        <f>IF(ISNUMBER(A578),YEAR(A578)&amp;"-"&amp;TEXT(MONTH(A578),"00"),"")</f>
        <v/>
      </c>
      <c r="J578">
        <f>IF(G578="","",IF(F578="User1",G578,IF(F578="User2",0,IF(I578="Да",G578*'⚙️ Настройки'!B15,G578*0.5))))</f>
        <v/>
      </c>
      <c r="K578">
        <f>IF(G578="","",IF(F578="User2",G578,IF(F578="User1",0,IF(I578="Да",G578*'⚙️ Настройки'!B16,G578*0.5))))</f>
        <v/>
      </c>
    </row>
    <row r="579" ht="15.75" customHeight="1" s="149">
      <c r="A579" s="209" t="n"/>
      <c r="B579" s="190">
        <f>IF(ISNUMBER(A579),YEAR(A579)&amp;"-"&amp;TEXT(MONTH(A579),"00"),"")</f>
        <v/>
      </c>
      <c r="J579">
        <f>IF(G579="","",IF(F579="User1",G579,IF(F579="User2",0,IF(I579="Да",G579*'⚙️ Настройки'!B15,G579*0.5))))</f>
        <v/>
      </c>
      <c r="K579">
        <f>IF(G579="","",IF(F579="User2",G579,IF(F579="User1",0,IF(I579="Да",G579*'⚙️ Настройки'!B16,G579*0.5))))</f>
        <v/>
      </c>
    </row>
    <row r="580" ht="15.75" customHeight="1" s="149">
      <c r="A580" s="209" t="n"/>
      <c r="B580" s="190">
        <f>IF(ISNUMBER(A580),YEAR(A580)&amp;"-"&amp;TEXT(MONTH(A580),"00"),"")</f>
        <v/>
      </c>
      <c r="J580">
        <f>IF(G580="","",IF(F580="User1",G580,IF(F580="User2",0,IF(I580="Да",G580*'⚙️ Настройки'!B15,G580*0.5))))</f>
        <v/>
      </c>
      <c r="K580">
        <f>IF(G580="","",IF(F580="User2",G580,IF(F580="User1",0,IF(I580="Да",G580*'⚙️ Настройки'!B16,G580*0.5))))</f>
        <v/>
      </c>
    </row>
    <row r="581" ht="15.75" customHeight="1" s="149">
      <c r="A581" s="209" t="n"/>
      <c r="B581" s="190">
        <f>IF(ISNUMBER(A581),YEAR(A581)&amp;"-"&amp;TEXT(MONTH(A581),"00"),"")</f>
        <v/>
      </c>
      <c r="J581">
        <f>IF(G581="","",IF(F581="User1",G581,IF(F581="User2",0,IF(I581="Да",G581*'⚙️ Настройки'!B15,G581*0.5))))</f>
        <v/>
      </c>
      <c r="K581">
        <f>IF(G581="","",IF(F581="User2",G581,IF(F581="User1",0,IF(I581="Да",G581*'⚙️ Настройки'!B16,G581*0.5))))</f>
        <v/>
      </c>
    </row>
    <row r="582" ht="15.75" customHeight="1" s="149">
      <c r="A582" s="209" t="n"/>
      <c r="B582" s="190">
        <f>IF(ISNUMBER(A582),YEAR(A582)&amp;"-"&amp;TEXT(MONTH(A582),"00"),"")</f>
        <v/>
      </c>
      <c r="J582">
        <f>IF(G582="","",IF(F582="User1",G582,IF(F582="User2",0,IF(I582="Да",G582*'⚙️ Настройки'!B15,G582*0.5))))</f>
        <v/>
      </c>
      <c r="K582">
        <f>IF(G582="","",IF(F582="User2",G582,IF(F582="User1",0,IF(I582="Да",G582*'⚙️ Настройки'!B16,G582*0.5))))</f>
        <v/>
      </c>
    </row>
    <row r="583" ht="15.75" customHeight="1" s="149">
      <c r="A583" s="209" t="n"/>
      <c r="B583" s="190">
        <f>IF(ISNUMBER(A583),YEAR(A583)&amp;"-"&amp;TEXT(MONTH(A583),"00"),"")</f>
        <v/>
      </c>
      <c r="J583">
        <f>IF(G583="","",IF(F583="User1",G583,IF(F583="User2",0,IF(I583="Да",G583*'⚙️ Настройки'!B15,G583*0.5))))</f>
        <v/>
      </c>
      <c r="K583">
        <f>IF(G583="","",IF(F583="User2",G583,IF(F583="User1",0,IF(I583="Да",G583*'⚙️ Настройки'!B16,G583*0.5))))</f>
        <v/>
      </c>
    </row>
    <row r="584" ht="15.75" customHeight="1" s="149">
      <c r="A584" s="209" t="n"/>
      <c r="B584" s="190">
        <f>IF(ISNUMBER(A584),YEAR(A584)&amp;"-"&amp;TEXT(MONTH(A584),"00"),"")</f>
        <v/>
      </c>
      <c r="J584">
        <f>IF(G584="","",IF(F584="User1",G584,IF(F584="User2",0,IF(I584="Да",G584*'⚙️ Настройки'!B15,G584*0.5))))</f>
        <v/>
      </c>
      <c r="K584">
        <f>IF(G584="","",IF(F584="User2",G584,IF(F584="User1",0,IF(I584="Да",G584*'⚙️ Настройки'!B16,G584*0.5))))</f>
        <v/>
      </c>
    </row>
    <row r="585" ht="15.75" customHeight="1" s="149">
      <c r="A585" s="209" t="n"/>
      <c r="B585" s="190">
        <f>IF(ISNUMBER(A585),YEAR(A585)&amp;"-"&amp;TEXT(MONTH(A585),"00"),"")</f>
        <v/>
      </c>
      <c r="J585">
        <f>IF(G585="","",IF(F585="User1",G585,IF(F585="User2",0,IF(I585="Да",G585*'⚙️ Настройки'!B15,G585*0.5))))</f>
        <v/>
      </c>
      <c r="K585">
        <f>IF(G585="","",IF(F585="User2",G585,IF(F585="User1",0,IF(I585="Да",G585*'⚙️ Настройки'!B16,G585*0.5))))</f>
        <v/>
      </c>
    </row>
    <row r="586" ht="15.75" customHeight="1" s="149">
      <c r="A586" s="209" t="n"/>
      <c r="B586" s="190">
        <f>IF(ISNUMBER(A586),YEAR(A586)&amp;"-"&amp;TEXT(MONTH(A586),"00"),"")</f>
        <v/>
      </c>
      <c r="J586">
        <f>IF(G586="","",IF(F586="User1",G586,IF(F586="User2",0,IF(I586="Да",G586*'⚙️ Настройки'!B15,G586*0.5))))</f>
        <v/>
      </c>
      <c r="K586">
        <f>IF(G586="","",IF(F586="User2",G586,IF(F586="User1",0,IF(I586="Да",G586*'⚙️ Настройки'!B16,G586*0.5))))</f>
        <v/>
      </c>
    </row>
    <row r="587" ht="15.75" customHeight="1" s="149">
      <c r="A587" s="209" t="n"/>
      <c r="B587" s="190">
        <f>IF(ISNUMBER(A587),YEAR(A587)&amp;"-"&amp;TEXT(MONTH(A587),"00"),"")</f>
        <v/>
      </c>
      <c r="J587">
        <f>IF(G587="","",IF(F587="User1",G587,IF(F587="User2",0,IF(I587="Да",G587*'⚙️ Настройки'!B15,G587*0.5))))</f>
        <v/>
      </c>
      <c r="K587">
        <f>IF(G587="","",IF(F587="User2",G587,IF(F587="User1",0,IF(I587="Да",G587*'⚙️ Настройки'!B16,G587*0.5))))</f>
        <v/>
      </c>
    </row>
    <row r="588" ht="15.75" customHeight="1" s="149">
      <c r="A588" s="209" t="n"/>
      <c r="B588" s="190">
        <f>IF(ISNUMBER(A588),YEAR(A588)&amp;"-"&amp;TEXT(MONTH(A588),"00"),"")</f>
        <v/>
      </c>
      <c r="J588">
        <f>IF(G588="","",IF(F588="User1",G588,IF(F588="User2",0,IF(I588="Да",G588*'⚙️ Настройки'!B15,G588*0.5))))</f>
        <v/>
      </c>
      <c r="K588">
        <f>IF(G588="","",IF(F588="User2",G588,IF(F588="User1",0,IF(I588="Да",G588*'⚙️ Настройки'!B16,G588*0.5))))</f>
        <v/>
      </c>
    </row>
    <row r="589" ht="15.75" customHeight="1" s="149">
      <c r="A589" s="209" t="n"/>
      <c r="B589" s="190">
        <f>IF(ISNUMBER(A589),YEAR(A589)&amp;"-"&amp;TEXT(MONTH(A589),"00"),"")</f>
        <v/>
      </c>
      <c r="J589">
        <f>IF(G589="","",IF(F589="User1",G589,IF(F589="User2",0,IF(I589="Да",G589*'⚙️ Настройки'!B15,G589*0.5))))</f>
        <v/>
      </c>
      <c r="K589">
        <f>IF(G589="","",IF(F589="User2",G589,IF(F589="User1",0,IF(I589="Да",G589*'⚙️ Настройки'!B16,G589*0.5))))</f>
        <v/>
      </c>
    </row>
    <row r="590" ht="15.75" customHeight="1" s="149">
      <c r="A590" s="209" t="n"/>
      <c r="B590" s="190">
        <f>IF(ISNUMBER(A590),YEAR(A590)&amp;"-"&amp;TEXT(MONTH(A590),"00"),"")</f>
        <v/>
      </c>
      <c r="J590">
        <f>IF(G590="","",IF(F590="User1",G590,IF(F590="User2",0,IF(I590="Да",G590*'⚙️ Настройки'!B15,G590*0.5))))</f>
        <v/>
      </c>
      <c r="K590">
        <f>IF(G590="","",IF(F590="User2",G590,IF(F590="User1",0,IF(I590="Да",G590*'⚙️ Настройки'!B16,G590*0.5))))</f>
        <v/>
      </c>
    </row>
    <row r="591" ht="15.75" customHeight="1" s="149">
      <c r="A591" s="209" t="n"/>
      <c r="B591" s="190">
        <f>IF(ISNUMBER(A591),YEAR(A591)&amp;"-"&amp;TEXT(MONTH(A591),"00"),"")</f>
        <v/>
      </c>
      <c r="J591">
        <f>IF(G591="","",IF(F591="User1",G591,IF(F591="User2",0,IF(I591="Да",G591*'⚙️ Настройки'!B15,G591*0.5))))</f>
        <v/>
      </c>
      <c r="K591">
        <f>IF(G591="","",IF(F591="User2",G591,IF(F591="User1",0,IF(I591="Да",G591*'⚙️ Настройки'!B16,G591*0.5))))</f>
        <v/>
      </c>
    </row>
    <row r="592" ht="15.75" customHeight="1" s="149">
      <c r="A592" s="209" t="n"/>
      <c r="B592" s="190">
        <f>IF(ISNUMBER(A592),YEAR(A592)&amp;"-"&amp;TEXT(MONTH(A592),"00"),"")</f>
        <v/>
      </c>
      <c r="J592">
        <f>IF(G592="","",IF(F592="User1",G592,IF(F592="User2",0,IF(I592="Да",G592*'⚙️ Настройки'!B15,G592*0.5))))</f>
        <v/>
      </c>
      <c r="K592">
        <f>IF(G592="","",IF(F592="User2",G592,IF(F592="User1",0,IF(I592="Да",G592*'⚙️ Настройки'!B16,G592*0.5))))</f>
        <v/>
      </c>
    </row>
    <row r="593" ht="15.75" customHeight="1" s="149">
      <c r="A593" s="209" t="n"/>
      <c r="B593" s="190">
        <f>IF(ISNUMBER(A593),YEAR(A593)&amp;"-"&amp;TEXT(MONTH(A593),"00"),"")</f>
        <v/>
      </c>
      <c r="J593">
        <f>IF(G593="","",IF(F593="User1",G593,IF(F593="User2",0,IF(I593="Да",G593*'⚙️ Настройки'!B15,G593*0.5))))</f>
        <v/>
      </c>
      <c r="K593">
        <f>IF(G593="","",IF(F593="User2",G593,IF(F593="User1",0,IF(I593="Да",G593*'⚙️ Настройки'!B16,G593*0.5))))</f>
        <v/>
      </c>
    </row>
    <row r="594" ht="15.75" customHeight="1" s="149">
      <c r="A594" s="209" t="n"/>
      <c r="B594" s="190">
        <f>IF(ISNUMBER(A594),YEAR(A594)&amp;"-"&amp;TEXT(MONTH(A594),"00"),"")</f>
        <v/>
      </c>
      <c r="J594">
        <f>IF(G594="","",IF(F594="User1",G594,IF(F594="User2",0,IF(I594="Да",G594*'⚙️ Настройки'!B15,G594*0.5))))</f>
        <v/>
      </c>
      <c r="K594">
        <f>IF(G594="","",IF(F594="User2",G594,IF(F594="User1",0,IF(I594="Да",G594*'⚙️ Настройки'!B16,G594*0.5))))</f>
        <v/>
      </c>
    </row>
    <row r="595" ht="15.75" customHeight="1" s="149">
      <c r="A595" s="209" t="n"/>
      <c r="B595" s="190">
        <f>IF(ISNUMBER(A595),YEAR(A595)&amp;"-"&amp;TEXT(MONTH(A595),"00"),"")</f>
        <v/>
      </c>
      <c r="J595">
        <f>IF(G595="","",IF(F595="User1",G595,IF(F595="User2",0,IF(I595="Да",G595*'⚙️ Настройки'!B15,G595*0.5))))</f>
        <v/>
      </c>
      <c r="K595">
        <f>IF(G595="","",IF(F595="User2",G595,IF(F595="User1",0,IF(I595="Да",G595*'⚙️ Настройки'!B16,G595*0.5))))</f>
        <v/>
      </c>
    </row>
    <row r="596" ht="15.75" customHeight="1" s="149">
      <c r="A596" s="209" t="n"/>
      <c r="B596" s="190">
        <f>IF(ISNUMBER(A596),YEAR(A596)&amp;"-"&amp;TEXT(MONTH(A596),"00"),"")</f>
        <v/>
      </c>
      <c r="J596">
        <f>IF(G596="","",IF(F596="User1",G596,IF(F596="User2",0,IF(I596="Да",G596*'⚙️ Настройки'!B15,G596*0.5))))</f>
        <v/>
      </c>
      <c r="K596">
        <f>IF(G596="","",IF(F596="User2",G596,IF(F596="User1",0,IF(I596="Да",G596*'⚙️ Настройки'!B16,G596*0.5))))</f>
        <v/>
      </c>
    </row>
    <row r="597" ht="15.75" customHeight="1" s="149">
      <c r="A597" s="209" t="n"/>
      <c r="B597" s="190">
        <f>IF(ISNUMBER(A597),YEAR(A597)&amp;"-"&amp;TEXT(MONTH(A597),"00"),"")</f>
        <v/>
      </c>
      <c r="J597">
        <f>IF(G597="","",IF(F597="User1",G597,IF(F597="User2",0,IF(I597="Да",G597*'⚙️ Настройки'!B15,G597*0.5))))</f>
        <v/>
      </c>
      <c r="K597">
        <f>IF(G597="","",IF(F597="User2",G597,IF(F597="User1",0,IF(I597="Да",G597*'⚙️ Настройки'!B16,G597*0.5))))</f>
        <v/>
      </c>
    </row>
    <row r="598" ht="15.75" customHeight="1" s="149">
      <c r="A598" s="209" t="n"/>
      <c r="B598" s="190">
        <f>IF(ISNUMBER(A598),YEAR(A598)&amp;"-"&amp;TEXT(MONTH(A598),"00"),"")</f>
        <v/>
      </c>
      <c r="J598">
        <f>IF(G598="","",IF(F598="User1",G598,IF(F598="User2",0,IF(I598="Да",G598*'⚙️ Настройки'!B15,G598*0.5))))</f>
        <v/>
      </c>
      <c r="K598">
        <f>IF(G598="","",IF(F598="User2",G598,IF(F598="User1",0,IF(I598="Да",G598*'⚙️ Настройки'!B16,G598*0.5))))</f>
        <v/>
      </c>
    </row>
    <row r="599" ht="15.75" customHeight="1" s="149">
      <c r="A599" s="209" t="n"/>
      <c r="B599" s="190">
        <f>IF(ISNUMBER(A599),YEAR(A599)&amp;"-"&amp;TEXT(MONTH(A599),"00"),"")</f>
        <v/>
      </c>
      <c r="J599">
        <f>IF(G599="","",IF(F599="User1",G599,IF(F599="User2",0,IF(I599="Да",G599*'⚙️ Настройки'!B15,G599*0.5))))</f>
        <v/>
      </c>
      <c r="K599">
        <f>IF(G599="","",IF(F599="User2",G599,IF(F599="User1",0,IF(I599="Да",G599*'⚙️ Настройки'!B16,G599*0.5))))</f>
        <v/>
      </c>
    </row>
    <row r="600" ht="15.75" customHeight="1" s="149">
      <c r="A600" s="209" t="n"/>
      <c r="B600" s="190">
        <f>IF(ISNUMBER(A600),YEAR(A600)&amp;"-"&amp;TEXT(MONTH(A600),"00"),"")</f>
        <v/>
      </c>
      <c r="J600">
        <f>IF(G600="","",IF(F600="User1",G600,IF(F600="User2",0,IF(I600="Да",G600*'⚙️ Настройки'!B15,G600*0.5))))</f>
        <v/>
      </c>
      <c r="K600">
        <f>IF(G600="","",IF(F600="User2",G600,IF(F600="User1",0,IF(I600="Да",G600*'⚙️ Настройки'!B16,G600*0.5))))</f>
        <v/>
      </c>
    </row>
    <row r="601" ht="15.75" customHeight="1" s="149">
      <c r="A601" s="209" t="n"/>
      <c r="B601" s="190">
        <f>IF(ISNUMBER(A601),YEAR(A601)&amp;"-"&amp;TEXT(MONTH(A601),"00"),"")</f>
        <v/>
      </c>
      <c r="J601">
        <f>IF(G601="","",IF(F601="User1",G601,IF(F601="User2",0,IF(I601="Да",G601*'⚙️ Настройки'!B15,G601*0.5))))</f>
        <v/>
      </c>
      <c r="K601">
        <f>IF(G601="","",IF(F601="User2",G601,IF(F601="User1",0,IF(I601="Да",G601*'⚙️ Настройки'!B16,G601*0.5))))</f>
        <v/>
      </c>
    </row>
    <row r="602" ht="15.75" customHeight="1" s="149">
      <c r="A602" s="209" t="n"/>
      <c r="B602" s="190">
        <f>IF(ISNUMBER(A602),YEAR(A602)&amp;"-"&amp;TEXT(MONTH(A602),"00"),"")</f>
        <v/>
      </c>
      <c r="J602">
        <f>IF(G602="","",IF(F602="User1",G602,IF(F602="User2",0,IF(I602="Да",G602*'⚙️ Настройки'!B15,G602*0.5))))</f>
        <v/>
      </c>
      <c r="K602">
        <f>IF(G602="","",IF(F602="User2",G602,IF(F602="User1",0,IF(I602="Да",G602*'⚙️ Настройки'!B16,G602*0.5))))</f>
        <v/>
      </c>
    </row>
    <row r="603" ht="15.75" customHeight="1" s="149">
      <c r="A603" s="209" t="n"/>
      <c r="B603" s="190">
        <f>IF(ISNUMBER(A603),YEAR(A603)&amp;"-"&amp;TEXT(MONTH(A603),"00"),"")</f>
        <v/>
      </c>
      <c r="J603">
        <f>IF(G603="","",IF(F603="User1",G603,IF(F603="User2",0,IF(I603="Да",G603*'⚙️ Настройки'!B15,G603*0.5))))</f>
        <v/>
      </c>
      <c r="K603">
        <f>IF(G603="","",IF(F603="User2",G603,IF(F603="User1",0,IF(I603="Да",G603*'⚙️ Настройки'!B16,G603*0.5))))</f>
        <v/>
      </c>
    </row>
    <row r="604" ht="15.75" customHeight="1" s="149">
      <c r="A604" s="209" t="n"/>
      <c r="B604" s="190">
        <f>IF(ISNUMBER(A604),YEAR(A604)&amp;"-"&amp;TEXT(MONTH(A604),"00"),"")</f>
        <v/>
      </c>
      <c r="J604">
        <f>IF(G604="","",IF(F604="User1",G604,IF(F604="User2",0,IF(I604="Да",G604*'⚙️ Настройки'!B15,G604*0.5))))</f>
        <v/>
      </c>
      <c r="K604">
        <f>IF(G604="","",IF(F604="User2",G604,IF(F604="User1",0,IF(I604="Да",G604*'⚙️ Настройки'!B16,G604*0.5))))</f>
        <v/>
      </c>
    </row>
    <row r="605" ht="15.75" customHeight="1" s="149">
      <c r="A605" s="209" t="n"/>
      <c r="B605" s="190">
        <f>IF(ISNUMBER(A605),YEAR(A605)&amp;"-"&amp;TEXT(MONTH(A605),"00"),"")</f>
        <v/>
      </c>
      <c r="J605">
        <f>IF(G605="","",IF(F605="User1",G605,IF(F605="User2",0,IF(I605="Да",G605*'⚙️ Настройки'!B15,G605*0.5))))</f>
        <v/>
      </c>
      <c r="K605">
        <f>IF(G605="","",IF(F605="User2",G605,IF(F605="User1",0,IF(I605="Да",G605*'⚙️ Настройки'!B16,G605*0.5))))</f>
        <v/>
      </c>
    </row>
    <row r="606" ht="15.75" customHeight="1" s="149">
      <c r="A606" s="209" t="n"/>
      <c r="B606" s="190">
        <f>IF(ISNUMBER(A606),YEAR(A606)&amp;"-"&amp;TEXT(MONTH(A606),"00"),"")</f>
        <v/>
      </c>
      <c r="J606">
        <f>IF(G606="","",IF(F606="User1",G606,IF(F606="User2",0,IF(I606="Да",G606*'⚙️ Настройки'!B15,G606*0.5))))</f>
        <v/>
      </c>
      <c r="K606">
        <f>IF(G606="","",IF(F606="User2",G606,IF(F606="User1",0,IF(I606="Да",G606*'⚙️ Настройки'!B16,G606*0.5))))</f>
        <v/>
      </c>
    </row>
    <row r="607" ht="15.75" customHeight="1" s="149">
      <c r="A607" s="209" t="n"/>
      <c r="B607" s="190">
        <f>IF(ISNUMBER(A607),YEAR(A607)&amp;"-"&amp;TEXT(MONTH(A607),"00"),"")</f>
        <v/>
      </c>
      <c r="J607">
        <f>IF(G607="","",IF(F607="User1",G607,IF(F607="User2",0,IF(I607="Да",G607*'⚙️ Настройки'!B15,G607*0.5))))</f>
        <v/>
      </c>
      <c r="K607">
        <f>IF(G607="","",IF(F607="User2",G607,IF(F607="User1",0,IF(I607="Да",G607*'⚙️ Настройки'!B16,G607*0.5))))</f>
        <v/>
      </c>
    </row>
    <row r="608" ht="15.75" customHeight="1" s="149">
      <c r="A608" s="209" t="n"/>
      <c r="B608" s="190">
        <f>IF(ISNUMBER(A608),YEAR(A608)&amp;"-"&amp;TEXT(MONTH(A608),"00"),"")</f>
        <v/>
      </c>
      <c r="J608">
        <f>IF(G608="","",IF(F608="User1",G608,IF(F608="User2",0,IF(I608="Да",G608*'⚙️ Настройки'!B15,G608*0.5))))</f>
        <v/>
      </c>
      <c r="K608">
        <f>IF(G608="","",IF(F608="User2",G608,IF(F608="User1",0,IF(I608="Да",G608*'⚙️ Настройки'!B16,G608*0.5))))</f>
        <v/>
      </c>
    </row>
    <row r="609" ht="15.75" customHeight="1" s="149">
      <c r="A609" s="209" t="n"/>
      <c r="B609" s="190">
        <f>IF(ISNUMBER(A609),YEAR(A609)&amp;"-"&amp;TEXT(MONTH(A609),"00"),"")</f>
        <v/>
      </c>
      <c r="J609">
        <f>IF(G609="","",IF(F609="User1",G609,IF(F609="User2",0,IF(I609="Да",G609*'⚙️ Настройки'!B15,G609*0.5))))</f>
        <v/>
      </c>
      <c r="K609">
        <f>IF(G609="","",IF(F609="User2",G609,IF(F609="User1",0,IF(I609="Да",G609*'⚙️ Настройки'!B16,G609*0.5))))</f>
        <v/>
      </c>
    </row>
    <row r="610" ht="15.75" customHeight="1" s="149">
      <c r="A610" s="209" t="n"/>
      <c r="B610" s="190">
        <f>IF(ISNUMBER(A610),YEAR(A610)&amp;"-"&amp;TEXT(MONTH(A610),"00"),"")</f>
        <v/>
      </c>
      <c r="J610">
        <f>IF(G610="","",IF(F610="User1",G610,IF(F610="User2",0,IF(I610="Да",G610*'⚙️ Настройки'!B15,G610*0.5))))</f>
        <v/>
      </c>
      <c r="K610">
        <f>IF(G610="","",IF(F610="User2",G610,IF(F610="User1",0,IF(I610="Да",G610*'⚙️ Настройки'!B16,G610*0.5))))</f>
        <v/>
      </c>
    </row>
    <row r="611" ht="15.75" customHeight="1" s="149">
      <c r="A611" s="209" t="n"/>
      <c r="B611" s="190">
        <f>IF(ISNUMBER(A611),YEAR(A611)&amp;"-"&amp;TEXT(MONTH(A611),"00"),"")</f>
        <v/>
      </c>
      <c r="J611">
        <f>IF(G611="","",IF(F611="User1",G611,IF(F611="User2",0,IF(I611="Да",G611*'⚙️ Настройки'!B15,G611*0.5))))</f>
        <v/>
      </c>
      <c r="K611">
        <f>IF(G611="","",IF(F611="User2",G611,IF(F611="User1",0,IF(I611="Да",G611*'⚙️ Настройки'!B16,G611*0.5))))</f>
        <v/>
      </c>
    </row>
    <row r="612" ht="15.75" customHeight="1" s="149">
      <c r="A612" s="209" t="n"/>
      <c r="B612" s="190">
        <f>IF(ISNUMBER(A612),YEAR(A612)&amp;"-"&amp;TEXT(MONTH(A612),"00"),"")</f>
        <v/>
      </c>
      <c r="J612">
        <f>IF(G612="","",IF(F612="User1",G612,IF(F612="User2",0,IF(I612="Да",G612*'⚙️ Настройки'!B15,G612*0.5))))</f>
        <v/>
      </c>
      <c r="K612">
        <f>IF(G612="","",IF(F612="User2",G612,IF(F612="User1",0,IF(I612="Да",G612*'⚙️ Настройки'!B16,G612*0.5))))</f>
        <v/>
      </c>
    </row>
    <row r="613" ht="15.75" customHeight="1" s="149">
      <c r="A613" s="209" t="n"/>
      <c r="B613" s="190">
        <f>IF(ISNUMBER(A613),YEAR(A613)&amp;"-"&amp;TEXT(MONTH(A613),"00"),"")</f>
        <v/>
      </c>
      <c r="J613">
        <f>IF(G613="","",IF(F613="User1",G613,IF(F613="User2",0,IF(I613="Да",G613*'⚙️ Настройки'!B15,G613*0.5))))</f>
        <v/>
      </c>
      <c r="K613">
        <f>IF(G613="","",IF(F613="User2",G613,IF(F613="User1",0,IF(I613="Да",G613*'⚙️ Настройки'!B16,G613*0.5))))</f>
        <v/>
      </c>
    </row>
    <row r="614" ht="15.75" customHeight="1" s="149">
      <c r="A614" s="209" t="n"/>
      <c r="B614" s="190">
        <f>IF(ISNUMBER(A614),YEAR(A614)&amp;"-"&amp;TEXT(MONTH(A614),"00"),"")</f>
        <v/>
      </c>
      <c r="J614">
        <f>IF(G614="","",IF(F614="User1",G614,IF(F614="User2",0,IF(I614="Да",G614*'⚙️ Настройки'!B15,G614*0.5))))</f>
        <v/>
      </c>
      <c r="K614">
        <f>IF(G614="","",IF(F614="User2",G614,IF(F614="User1",0,IF(I614="Да",G614*'⚙️ Настройки'!B16,G614*0.5))))</f>
        <v/>
      </c>
    </row>
    <row r="615" ht="15.75" customHeight="1" s="149">
      <c r="A615" s="209" t="n"/>
      <c r="B615" s="190">
        <f>IF(ISNUMBER(A615),YEAR(A615)&amp;"-"&amp;TEXT(MONTH(A615),"00"),"")</f>
        <v/>
      </c>
      <c r="J615">
        <f>IF(G615="","",IF(F615="User1",G615,IF(F615="User2",0,IF(I615="Да",G615*'⚙️ Настройки'!B15,G615*0.5))))</f>
        <v/>
      </c>
      <c r="K615">
        <f>IF(G615="","",IF(F615="User2",G615,IF(F615="User1",0,IF(I615="Да",G615*'⚙️ Настройки'!B16,G615*0.5))))</f>
        <v/>
      </c>
    </row>
    <row r="616" ht="15.75" customHeight="1" s="149">
      <c r="A616" s="209" t="n"/>
      <c r="B616" s="190">
        <f>IF(ISNUMBER(A616),YEAR(A616)&amp;"-"&amp;TEXT(MONTH(A616),"00"),"")</f>
        <v/>
      </c>
      <c r="J616">
        <f>IF(G616="","",IF(F616="User1",G616,IF(F616="User2",0,IF(I616="Да",G616*'⚙️ Настройки'!B15,G616*0.5))))</f>
        <v/>
      </c>
      <c r="K616">
        <f>IF(G616="","",IF(F616="User2",G616,IF(F616="User1",0,IF(I616="Да",G616*'⚙️ Настройки'!B16,G616*0.5))))</f>
        <v/>
      </c>
    </row>
    <row r="617" ht="15.75" customHeight="1" s="149">
      <c r="A617" s="209" t="n"/>
      <c r="B617" s="190">
        <f>IF(ISNUMBER(A617),YEAR(A617)&amp;"-"&amp;TEXT(MONTH(A617),"00"),"")</f>
        <v/>
      </c>
      <c r="J617">
        <f>IF(G617="","",IF(F617="User1",G617,IF(F617="User2",0,IF(I617="Да",G617*'⚙️ Настройки'!B15,G617*0.5))))</f>
        <v/>
      </c>
      <c r="K617">
        <f>IF(G617="","",IF(F617="User2",G617,IF(F617="User1",0,IF(I617="Да",G617*'⚙️ Настройки'!B16,G617*0.5))))</f>
        <v/>
      </c>
    </row>
    <row r="618" ht="15.75" customHeight="1" s="149">
      <c r="A618" s="209" t="n"/>
      <c r="B618" s="190">
        <f>IF(ISNUMBER(A618),YEAR(A618)&amp;"-"&amp;TEXT(MONTH(A618),"00"),"")</f>
        <v/>
      </c>
      <c r="J618">
        <f>IF(G618="","",IF(F618="User1",G618,IF(F618="User2",0,IF(I618="Да",G618*'⚙️ Настройки'!B15,G618*0.5))))</f>
        <v/>
      </c>
      <c r="K618">
        <f>IF(G618="","",IF(F618="User2",G618,IF(F618="User1",0,IF(I618="Да",G618*'⚙️ Настройки'!B16,G618*0.5))))</f>
        <v/>
      </c>
    </row>
    <row r="619" ht="15.75" customHeight="1" s="149">
      <c r="A619" s="209" t="n"/>
      <c r="B619" s="190">
        <f>IF(ISNUMBER(A619),YEAR(A619)&amp;"-"&amp;TEXT(MONTH(A619),"00"),"")</f>
        <v/>
      </c>
      <c r="J619">
        <f>IF(G619="","",IF(F619="User1",G619,IF(F619="User2",0,IF(I619="Да",G619*'⚙️ Настройки'!B15,G619*0.5))))</f>
        <v/>
      </c>
      <c r="K619">
        <f>IF(G619="","",IF(F619="User2",G619,IF(F619="User1",0,IF(I619="Да",G619*'⚙️ Настройки'!B16,G619*0.5))))</f>
        <v/>
      </c>
    </row>
    <row r="620" ht="15.75" customHeight="1" s="149">
      <c r="A620" s="209" t="n"/>
      <c r="B620" s="190">
        <f>IF(ISNUMBER(A620),YEAR(A620)&amp;"-"&amp;TEXT(MONTH(A620),"00"),"")</f>
        <v/>
      </c>
      <c r="J620">
        <f>IF(G620="","",IF(F620="User1",G620,IF(F620="User2",0,IF(I620="Да",G620*'⚙️ Настройки'!B15,G620*0.5))))</f>
        <v/>
      </c>
      <c r="K620">
        <f>IF(G620="","",IF(F620="User2",G620,IF(F620="User1",0,IF(I620="Да",G620*'⚙️ Настройки'!B16,G620*0.5))))</f>
        <v/>
      </c>
    </row>
    <row r="621" ht="15.75" customHeight="1" s="149">
      <c r="A621" s="209" t="n"/>
      <c r="B621" s="190">
        <f>IF(ISNUMBER(A621),YEAR(A621)&amp;"-"&amp;TEXT(MONTH(A621),"00"),"")</f>
        <v/>
      </c>
      <c r="J621">
        <f>IF(G621="","",IF(F621="User1",G621,IF(F621="User2",0,IF(I621="Да",G621*'⚙️ Настройки'!B15,G621*0.5))))</f>
        <v/>
      </c>
      <c r="K621">
        <f>IF(G621="","",IF(F621="User2",G621,IF(F621="User1",0,IF(I621="Да",G621*'⚙️ Настройки'!B16,G621*0.5))))</f>
        <v/>
      </c>
    </row>
    <row r="622" ht="15.75" customHeight="1" s="149">
      <c r="A622" s="209" t="n"/>
      <c r="B622" s="190">
        <f>IF(ISNUMBER(A622),YEAR(A622)&amp;"-"&amp;TEXT(MONTH(A622),"00"),"")</f>
        <v/>
      </c>
      <c r="J622">
        <f>IF(G622="","",IF(F622="User1",G622,IF(F622="User2",0,IF(I622="Да",G622*'⚙️ Настройки'!B15,G622*0.5))))</f>
        <v/>
      </c>
      <c r="K622">
        <f>IF(G622="","",IF(F622="User2",G622,IF(F622="User1",0,IF(I622="Да",G622*'⚙️ Настройки'!B16,G622*0.5))))</f>
        <v/>
      </c>
    </row>
    <row r="623" ht="15.75" customHeight="1" s="149">
      <c r="A623" s="209" t="n"/>
      <c r="B623" s="190">
        <f>IF(ISNUMBER(A623),YEAR(A623)&amp;"-"&amp;TEXT(MONTH(A623),"00"),"")</f>
        <v/>
      </c>
      <c r="J623">
        <f>IF(G623="","",IF(F623="User1",G623,IF(F623="User2",0,IF(I623="Да",G623*'⚙️ Настройки'!B15,G623*0.5))))</f>
        <v/>
      </c>
      <c r="K623">
        <f>IF(G623="","",IF(F623="User2",G623,IF(F623="User1",0,IF(I623="Да",G623*'⚙️ Настройки'!B16,G623*0.5))))</f>
        <v/>
      </c>
    </row>
    <row r="624" ht="15.75" customHeight="1" s="149">
      <c r="A624" s="209" t="n"/>
      <c r="B624" s="190">
        <f>IF(ISNUMBER(A624),YEAR(A624)&amp;"-"&amp;TEXT(MONTH(A624),"00"),"")</f>
        <v/>
      </c>
      <c r="J624">
        <f>IF(G624="","",IF(F624="User1",G624,IF(F624="User2",0,IF(I624="Да",G624*'⚙️ Настройки'!B15,G624*0.5))))</f>
        <v/>
      </c>
      <c r="K624">
        <f>IF(G624="","",IF(F624="User2",G624,IF(F624="User1",0,IF(I624="Да",G624*'⚙️ Настройки'!B16,G624*0.5))))</f>
        <v/>
      </c>
    </row>
    <row r="625" ht="15.75" customHeight="1" s="149">
      <c r="A625" s="209" t="n"/>
      <c r="B625" s="190">
        <f>IF(ISNUMBER(A625),YEAR(A625)&amp;"-"&amp;TEXT(MONTH(A625),"00"),"")</f>
        <v/>
      </c>
      <c r="J625">
        <f>IF(G625="","",IF(F625="User1",G625,IF(F625="User2",0,IF(I625="Да",G625*'⚙️ Настройки'!B15,G625*0.5))))</f>
        <v/>
      </c>
      <c r="K625">
        <f>IF(G625="","",IF(F625="User2",G625,IF(F625="User1",0,IF(I625="Да",G625*'⚙️ Настройки'!B16,G625*0.5))))</f>
        <v/>
      </c>
    </row>
    <row r="626" ht="15.75" customHeight="1" s="149">
      <c r="A626" s="209" t="n"/>
      <c r="B626" s="190">
        <f>IF(ISNUMBER(A626),YEAR(A626)&amp;"-"&amp;TEXT(MONTH(A626),"00"),"")</f>
        <v/>
      </c>
      <c r="J626">
        <f>IF(G626="","",IF(F626="User1",G626,IF(F626="User2",0,IF(I626="Да",G626*'⚙️ Настройки'!B15,G626*0.5))))</f>
        <v/>
      </c>
      <c r="K626">
        <f>IF(G626="","",IF(F626="User2",G626,IF(F626="User1",0,IF(I626="Да",G626*'⚙️ Настройки'!B16,G626*0.5))))</f>
        <v/>
      </c>
    </row>
    <row r="627" ht="15.75" customHeight="1" s="149">
      <c r="A627" s="209" t="n"/>
      <c r="B627" s="190">
        <f>IF(ISNUMBER(A627),YEAR(A627)&amp;"-"&amp;TEXT(MONTH(A627),"00"),"")</f>
        <v/>
      </c>
      <c r="J627">
        <f>IF(G627="","",IF(F627="User1",G627,IF(F627="User2",0,IF(I627="Да",G627*'⚙️ Настройки'!B15,G627*0.5))))</f>
        <v/>
      </c>
      <c r="K627">
        <f>IF(G627="","",IF(F627="User2",G627,IF(F627="User1",0,IF(I627="Да",G627*'⚙️ Настройки'!B16,G627*0.5))))</f>
        <v/>
      </c>
    </row>
    <row r="628" ht="15.75" customHeight="1" s="149">
      <c r="A628" s="209" t="n"/>
      <c r="B628" s="190">
        <f>IF(ISNUMBER(A628),YEAR(A628)&amp;"-"&amp;TEXT(MONTH(A628),"00"),"")</f>
        <v/>
      </c>
      <c r="J628">
        <f>IF(G628="","",IF(F628="User1",G628,IF(F628="User2",0,IF(I628="Да",G628*'⚙️ Настройки'!B15,G628*0.5))))</f>
        <v/>
      </c>
      <c r="K628">
        <f>IF(G628="","",IF(F628="User2",G628,IF(F628="User1",0,IF(I628="Да",G628*'⚙️ Настройки'!B16,G628*0.5))))</f>
        <v/>
      </c>
    </row>
    <row r="629" ht="15.75" customHeight="1" s="149">
      <c r="A629" s="209" t="n"/>
      <c r="B629" s="190">
        <f>IF(ISNUMBER(A629),YEAR(A629)&amp;"-"&amp;TEXT(MONTH(A629),"00"),"")</f>
        <v/>
      </c>
      <c r="J629">
        <f>IF(G629="","",IF(F629="User1",G629,IF(F629="User2",0,IF(I629="Да",G629*'⚙️ Настройки'!B15,G629*0.5))))</f>
        <v/>
      </c>
      <c r="K629">
        <f>IF(G629="","",IF(F629="User2",G629,IF(F629="User1",0,IF(I629="Да",G629*'⚙️ Настройки'!B16,G629*0.5))))</f>
        <v/>
      </c>
    </row>
    <row r="630" ht="15.75" customHeight="1" s="149">
      <c r="A630" s="209" t="n"/>
      <c r="B630" s="190">
        <f>IF(ISNUMBER(A630),YEAR(A630)&amp;"-"&amp;TEXT(MONTH(A630),"00"),"")</f>
        <v/>
      </c>
      <c r="J630">
        <f>IF(G630="","",IF(F630="User1",G630,IF(F630="User2",0,IF(I630="Да",G630*'⚙️ Настройки'!B15,G630*0.5))))</f>
        <v/>
      </c>
      <c r="K630">
        <f>IF(G630="","",IF(F630="User2",G630,IF(F630="User1",0,IF(I630="Да",G630*'⚙️ Настройки'!B16,G630*0.5))))</f>
        <v/>
      </c>
    </row>
    <row r="631" ht="15.75" customHeight="1" s="149">
      <c r="A631" s="209" t="n"/>
      <c r="B631" s="190">
        <f>IF(ISNUMBER(A631),YEAR(A631)&amp;"-"&amp;TEXT(MONTH(A631),"00"),"")</f>
        <v/>
      </c>
      <c r="J631">
        <f>IF(G631="","",IF(F631="User1",G631,IF(F631="User2",0,IF(I631="Да",G631*'⚙️ Настройки'!B15,G631*0.5))))</f>
        <v/>
      </c>
      <c r="K631">
        <f>IF(G631="","",IF(F631="User2",G631,IF(F631="User1",0,IF(I631="Да",G631*'⚙️ Настройки'!B16,G631*0.5))))</f>
        <v/>
      </c>
    </row>
    <row r="632" ht="15.75" customHeight="1" s="149">
      <c r="A632" s="209" t="n"/>
      <c r="B632" s="190">
        <f>IF(ISNUMBER(A632),YEAR(A632)&amp;"-"&amp;TEXT(MONTH(A632),"00"),"")</f>
        <v/>
      </c>
      <c r="J632">
        <f>IF(G632="","",IF(F632="User1",G632,IF(F632="User2",0,IF(I632="Да",G632*'⚙️ Настройки'!B15,G632*0.5))))</f>
        <v/>
      </c>
      <c r="K632">
        <f>IF(G632="","",IF(F632="User2",G632,IF(F632="User1",0,IF(I632="Да",G632*'⚙️ Настройки'!B16,G632*0.5))))</f>
        <v/>
      </c>
    </row>
    <row r="633" ht="15.75" customHeight="1" s="149">
      <c r="A633" s="209" t="n"/>
      <c r="B633" s="190">
        <f>IF(ISNUMBER(A633),YEAR(A633)&amp;"-"&amp;TEXT(MONTH(A633),"00"),"")</f>
        <v/>
      </c>
      <c r="J633">
        <f>IF(G633="","",IF(F633="User1",G633,IF(F633="User2",0,IF(I633="Да",G633*'⚙️ Настройки'!B15,G633*0.5))))</f>
        <v/>
      </c>
      <c r="K633">
        <f>IF(G633="","",IF(F633="User2",G633,IF(F633="User1",0,IF(I633="Да",G633*'⚙️ Настройки'!B16,G633*0.5))))</f>
        <v/>
      </c>
    </row>
    <row r="634" ht="15.75" customHeight="1" s="149">
      <c r="A634" s="209" t="n"/>
      <c r="B634" s="190">
        <f>IF(ISNUMBER(A634),YEAR(A634)&amp;"-"&amp;TEXT(MONTH(A634),"00"),"")</f>
        <v/>
      </c>
      <c r="J634">
        <f>IF(G634="","",IF(F634="User1",G634,IF(F634="User2",0,IF(I634="Да",G634*'⚙️ Настройки'!B15,G634*0.5))))</f>
        <v/>
      </c>
      <c r="K634">
        <f>IF(G634="","",IF(F634="User2",G634,IF(F634="User1",0,IF(I634="Да",G634*'⚙️ Настройки'!B16,G634*0.5))))</f>
        <v/>
      </c>
    </row>
    <row r="635" ht="15.75" customHeight="1" s="149">
      <c r="A635" s="209" t="n"/>
      <c r="B635" s="190">
        <f>IF(ISNUMBER(A635),YEAR(A635)&amp;"-"&amp;TEXT(MONTH(A635),"00"),"")</f>
        <v/>
      </c>
      <c r="J635">
        <f>IF(G635="","",IF(F635="User1",G635,IF(F635="User2",0,IF(I635="Да",G635*'⚙️ Настройки'!B15,G635*0.5))))</f>
        <v/>
      </c>
      <c r="K635">
        <f>IF(G635="","",IF(F635="User2",G635,IF(F635="User1",0,IF(I635="Да",G635*'⚙️ Настройки'!B16,G635*0.5))))</f>
        <v/>
      </c>
    </row>
    <row r="636" ht="15.75" customHeight="1" s="149">
      <c r="A636" s="209" t="n"/>
      <c r="B636" s="190">
        <f>IF(ISNUMBER(A636),YEAR(A636)&amp;"-"&amp;TEXT(MONTH(A636),"00"),"")</f>
        <v/>
      </c>
      <c r="J636">
        <f>IF(G636="","",IF(F636="User1",G636,IF(F636="User2",0,IF(I636="Да",G636*'⚙️ Настройки'!B15,G636*0.5))))</f>
        <v/>
      </c>
      <c r="K636">
        <f>IF(G636="","",IF(F636="User2",G636,IF(F636="User1",0,IF(I636="Да",G636*'⚙️ Настройки'!B16,G636*0.5))))</f>
        <v/>
      </c>
    </row>
    <row r="637" ht="15.75" customHeight="1" s="149">
      <c r="A637" s="209" t="n"/>
      <c r="B637" s="190">
        <f>IF(ISNUMBER(A637),YEAR(A637)&amp;"-"&amp;TEXT(MONTH(A637),"00"),"")</f>
        <v/>
      </c>
      <c r="J637">
        <f>IF(G637="","",IF(F637="User1",G637,IF(F637="User2",0,IF(I637="Да",G637*'⚙️ Настройки'!B15,G637*0.5))))</f>
        <v/>
      </c>
      <c r="K637">
        <f>IF(G637="","",IF(F637="User2",G637,IF(F637="User1",0,IF(I637="Да",G637*'⚙️ Настройки'!B16,G637*0.5))))</f>
        <v/>
      </c>
    </row>
    <row r="638" ht="15.75" customHeight="1" s="149">
      <c r="A638" s="209" t="n"/>
      <c r="B638" s="190">
        <f>IF(ISNUMBER(A638),YEAR(A638)&amp;"-"&amp;TEXT(MONTH(A638),"00"),"")</f>
        <v/>
      </c>
      <c r="J638">
        <f>IF(G638="","",IF(F638="User1",G638,IF(F638="User2",0,IF(I638="Да",G638*'⚙️ Настройки'!B15,G638*0.5))))</f>
        <v/>
      </c>
      <c r="K638">
        <f>IF(G638="","",IF(F638="User2",G638,IF(F638="User1",0,IF(I638="Да",G638*'⚙️ Настройки'!B16,G638*0.5))))</f>
        <v/>
      </c>
    </row>
    <row r="639" ht="15.75" customHeight="1" s="149">
      <c r="A639" s="209" t="n"/>
      <c r="B639" s="190">
        <f>IF(ISNUMBER(A639),YEAR(A639)&amp;"-"&amp;TEXT(MONTH(A639),"00"),"")</f>
        <v/>
      </c>
      <c r="J639">
        <f>IF(G639="","",IF(F639="User1",G639,IF(F639="User2",0,IF(I639="Да",G639*'⚙️ Настройки'!B15,G639*0.5))))</f>
        <v/>
      </c>
      <c r="K639">
        <f>IF(G639="","",IF(F639="User2",G639,IF(F639="User1",0,IF(I639="Да",G639*'⚙️ Настройки'!B16,G639*0.5))))</f>
        <v/>
      </c>
    </row>
    <row r="640" ht="15.75" customHeight="1" s="149">
      <c r="A640" s="209" t="n"/>
      <c r="B640" s="190">
        <f>IF(ISNUMBER(A640),YEAR(A640)&amp;"-"&amp;TEXT(MONTH(A640),"00"),"")</f>
        <v/>
      </c>
      <c r="J640">
        <f>IF(G640="","",IF(F640="User1",G640,IF(F640="User2",0,IF(I640="Да",G640*'⚙️ Настройки'!B15,G640*0.5))))</f>
        <v/>
      </c>
      <c r="K640">
        <f>IF(G640="","",IF(F640="User2",G640,IF(F640="User1",0,IF(I640="Да",G640*'⚙️ Настройки'!B16,G640*0.5))))</f>
        <v/>
      </c>
    </row>
    <row r="641" ht="15.75" customHeight="1" s="149">
      <c r="A641" s="209" t="n"/>
      <c r="B641" s="190">
        <f>IF(ISNUMBER(A641),YEAR(A641)&amp;"-"&amp;TEXT(MONTH(A641),"00"),"")</f>
        <v/>
      </c>
      <c r="J641">
        <f>IF(G641="","",IF(F641="User1",G641,IF(F641="User2",0,IF(I641="Да",G641*'⚙️ Настройки'!B15,G641*0.5))))</f>
        <v/>
      </c>
      <c r="K641">
        <f>IF(G641="","",IF(F641="User2",G641,IF(F641="User1",0,IF(I641="Да",G641*'⚙️ Настройки'!B16,G641*0.5))))</f>
        <v/>
      </c>
    </row>
    <row r="642" ht="15.75" customHeight="1" s="149">
      <c r="A642" s="209" t="n"/>
      <c r="B642" s="190">
        <f>IF(ISNUMBER(A642),YEAR(A642)&amp;"-"&amp;TEXT(MONTH(A642),"00"),"")</f>
        <v/>
      </c>
      <c r="J642">
        <f>IF(G642="","",IF(F642="User1",G642,IF(F642="User2",0,IF(I642="Да",G642*'⚙️ Настройки'!B15,G642*0.5))))</f>
        <v/>
      </c>
      <c r="K642">
        <f>IF(G642="","",IF(F642="User2",G642,IF(F642="User1",0,IF(I642="Да",G642*'⚙️ Настройки'!B16,G642*0.5))))</f>
        <v/>
      </c>
    </row>
    <row r="643" ht="15.75" customHeight="1" s="149">
      <c r="A643" s="209" t="n"/>
      <c r="B643" s="190">
        <f>IF(ISNUMBER(A643),YEAR(A643)&amp;"-"&amp;TEXT(MONTH(A643),"00"),"")</f>
        <v/>
      </c>
      <c r="J643">
        <f>IF(G643="","",IF(F643="User1",G643,IF(F643="User2",0,IF(I643="Да",G643*'⚙️ Настройки'!B15,G643*0.5))))</f>
        <v/>
      </c>
      <c r="K643">
        <f>IF(G643="","",IF(F643="User2",G643,IF(F643="User1",0,IF(I643="Да",G643*'⚙️ Настройки'!B16,G643*0.5))))</f>
        <v/>
      </c>
    </row>
    <row r="644" ht="15.75" customHeight="1" s="149">
      <c r="A644" s="209" t="n"/>
      <c r="B644" s="190">
        <f>IF(ISNUMBER(A644),YEAR(A644)&amp;"-"&amp;TEXT(MONTH(A644),"00"),"")</f>
        <v/>
      </c>
      <c r="J644">
        <f>IF(G644="","",IF(F644="User1",G644,IF(F644="User2",0,IF(I644="Да",G644*'⚙️ Настройки'!B15,G644*0.5))))</f>
        <v/>
      </c>
      <c r="K644">
        <f>IF(G644="","",IF(F644="User2",G644,IF(F644="User1",0,IF(I644="Да",G644*'⚙️ Настройки'!B16,G644*0.5))))</f>
        <v/>
      </c>
    </row>
    <row r="645" ht="15.75" customHeight="1" s="149">
      <c r="A645" s="209" t="n"/>
      <c r="B645" s="190">
        <f>IF(ISNUMBER(A645),YEAR(A645)&amp;"-"&amp;TEXT(MONTH(A645),"00"),"")</f>
        <v/>
      </c>
      <c r="J645">
        <f>IF(G645="","",IF(F645="User1",G645,IF(F645="User2",0,IF(I645="Да",G645*'⚙️ Настройки'!B15,G645*0.5))))</f>
        <v/>
      </c>
      <c r="K645">
        <f>IF(G645="","",IF(F645="User2",G645,IF(F645="User1",0,IF(I645="Да",G645*'⚙️ Настройки'!B16,G645*0.5))))</f>
        <v/>
      </c>
    </row>
    <row r="646" ht="15.75" customHeight="1" s="149">
      <c r="A646" s="209" t="n"/>
      <c r="B646" s="190">
        <f>IF(ISNUMBER(A646),YEAR(A646)&amp;"-"&amp;TEXT(MONTH(A646),"00"),"")</f>
        <v/>
      </c>
      <c r="J646">
        <f>IF(G646="","",IF(F646="User1",G646,IF(F646="User2",0,IF(I646="Да",G646*'⚙️ Настройки'!B15,G646*0.5))))</f>
        <v/>
      </c>
      <c r="K646">
        <f>IF(G646="","",IF(F646="User2",G646,IF(F646="User1",0,IF(I646="Да",G646*'⚙️ Настройки'!B16,G646*0.5))))</f>
        <v/>
      </c>
    </row>
    <row r="647" ht="15.75" customHeight="1" s="149">
      <c r="A647" s="209" t="n"/>
      <c r="B647" s="190">
        <f>IF(ISNUMBER(A647),YEAR(A647)&amp;"-"&amp;TEXT(MONTH(A647),"00"),"")</f>
        <v/>
      </c>
      <c r="J647">
        <f>IF(G647="","",IF(F647="User1",G647,IF(F647="User2",0,IF(I647="Да",G647*'⚙️ Настройки'!B15,G647*0.5))))</f>
        <v/>
      </c>
      <c r="K647">
        <f>IF(G647="","",IF(F647="User2",G647,IF(F647="User1",0,IF(I647="Да",G647*'⚙️ Настройки'!B16,G647*0.5))))</f>
        <v/>
      </c>
    </row>
    <row r="648" ht="15.75" customHeight="1" s="149">
      <c r="A648" s="209" t="n"/>
      <c r="B648" s="190">
        <f>IF(ISNUMBER(A648),YEAR(A648)&amp;"-"&amp;TEXT(MONTH(A648),"00"),"")</f>
        <v/>
      </c>
      <c r="J648">
        <f>IF(G648="","",IF(F648="User1",G648,IF(F648="User2",0,IF(I648="Да",G648*'⚙️ Настройки'!B15,G648*0.5))))</f>
        <v/>
      </c>
      <c r="K648">
        <f>IF(G648="","",IF(F648="User2",G648,IF(F648="User1",0,IF(I648="Да",G648*'⚙️ Настройки'!B16,G648*0.5))))</f>
        <v/>
      </c>
    </row>
    <row r="649" ht="15.75" customHeight="1" s="149">
      <c r="A649" s="209" t="n"/>
      <c r="B649" s="190">
        <f>IF(ISNUMBER(A649),YEAR(A649)&amp;"-"&amp;TEXT(MONTH(A649),"00"),"")</f>
        <v/>
      </c>
      <c r="J649">
        <f>IF(G649="","",IF(F649="User1",G649,IF(F649="User2",0,IF(I649="Да",G649*'⚙️ Настройки'!B15,G649*0.5))))</f>
        <v/>
      </c>
      <c r="K649">
        <f>IF(G649="","",IF(F649="User2",G649,IF(F649="User1",0,IF(I649="Да",G649*'⚙️ Настройки'!B16,G649*0.5))))</f>
        <v/>
      </c>
    </row>
    <row r="650" ht="15.75" customHeight="1" s="149">
      <c r="A650" s="209" t="n"/>
      <c r="B650" s="190">
        <f>IF(ISNUMBER(A650),YEAR(A650)&amp;"-"&amp;TEXT(MONTH(A650),"00"),"")</f>
        <v/>
      </c>
      <c r="J650">
        <f>IF(G650="","",IF(F650="User1",G650,IF(F650="User2",0,IF(I650="Да",G650*'⚙️ Настройки'!B15,G650*0.5))))</f>
        <v/>
      </c>
      <c r="K650">
        <f>IF(G650="","",IF(F650="User2",G650,IF(F650="User1",0,IF(I650="Да",G650*'⚙️ Настройки'!B16,G650*0.5))))</f>
        <v/>
      </c>
    </row>
    <row r="651" ht="15.75" customHeight="1" s="149">
      <c r="A651" s="209" t="n"/>
      <c r="B651" s="190">
        <f>IF(ISNUMBER(A651),YEAR(A651)&amp;"-"&amp;TEXT(MONTH(A651),"00"),"")</f>
        <v/>
      </c>
      <c r="J651">
        <f>IF(G651="","",IF(F651="User1",G651,IF(F651="User2",0,IF(I651="Да",G651*'⚙️ Настройки'!B15,G651*0.5))))</f>
        <v/>
      </c>
      <c r="K651">
        <f>IF(G651="","",IF(F651="User2",G651,IF(F651="User1",0,IF(I651="Да",G651*'⚙️ Настройки'!B16,G651*0.5))))</f>
        <v/>
      </c>
    </row>
    <row r="652" ht="15.75" customHeight="1" s="149">
      <c r="A652" s="209" t="n"/>
      <c r="B652" s="190">
        <f>IF(ISNUMBER(A652),YEAR(A652)&amp;"-"&amp;TEXT(MONTH(A652),"00"),"")</f>
        <v/>
      </c>
      <c r="J652">
        <f>IF(G652="","",IF(F652="User1",G652,IF(F652="User2",0,IF(I652="Да",G652*'⚙️ Настройки'!B15,G652*0.5))))</f>
        <v/>
      </c>
      <c r="K652">
        <f>IF(G652="","",IF(F652="User2",G652,IF(F652="User1",0,IF(I652="Да",G652*'⚙️ Настройки'!B16,G652*0.5))))</f>
        <v/>
      </c>
    </row>
    <row r="653" ht="15.75" customHeight="1" s="149">
      <c r="A653" s="209" t="n"/>
      <c r="B653" s="190">
        <f>IF(ISNUMBER(A653),YEAR(A653)&amp;"-"&amp;TEXT(MONTH(A653),"00"),"")</f>
        <v/>
      </c>
      <c r="J653">
        <f>IF(G653="","",IF(F653="User1",G653,IF(F653="User2",0,IF(I653="Да",G653*'⚙️ Настройки'!B15,G653*0.5))))</f>
        <v/>
      </c>
      <c r="K653">
        <f>IF(G653="","",IF(F653="User2",G653,IF(F653="User1",0,IF(I653="Да",G653*'⚙️ Настройки'!B16,G653*0.5))))</f>
        <v/>
      </c>
    </row>
    <row r="654" ht="15.75" customHeight="1" s="149">
      <c r="A654" s="209" t="n"/>
      <c r="B654" s="190">
        <f>IF(ISNUMBER(A654),YEAR(A654)&amp;"-"&amp;TEXT(MONTH(A654),"00"),"")</f>
        <v/>
      </c>
      <c r="J654">
        <f>IF(G654="","",IF(F654="User1",G654,IF(F654="User2",0,IF(I654="Да",G654*'⚙️ Настройки'!B15,G654*0.5))))</f>
        <v/>
      </c>
      <c r="K654">
        <f>IF(G654="","",IF(F654="User2",G654,IF(F654="User1",0,IF(I654="Да",G654*'⚙️ Настройки'!B16,G654*0.5))))</f>
        <v/>
      </c>
    </row>
    <row r="655" ht="15.75" customHeight="1" s="149">
      <c r="A655" s="209" t="n"/>
      <c r="B655" s="190">
        <f>IF(ISNUMBER(A655),YEAR(A655)&amp;"-"&amp;TEXT(MONTH(A655),"00"),"")</f>
        <v/>
      </c>
      <c r="J655">
        <f>IF(G655="","",IF(F655="User1",G655,IF(F655="User2",0,IF(I655="Да",G655*'⚙️ Настройки'!B15,G655*0.5))))</f>
        <v/>
      </c>
      <c r="K655">
        <f>IF(G655="","",IF(F655="User2",G655,IF(F655="User1",0,IF(I655="Да",G655*'⚙️ Настройки'!B16,G655*0.5))))</f>
        <v/>
      </c>
    </row>
    <row r="656" ht="15.75" customHeight="1" s="149">
      <c r="A656" s="209" t="n"/>
      <c r="B656" s="190">
        <f>IF(ISNUMBER(A656),YEAR(A656)&amp;"-"&amp;TEXT(MONTH(A656),"00"),"")</f>
        <v/>
      </c>
      <c r="J656">
        <f>IF(G656="","",IF(F656="User1",G656,IF(F656="User2",0,IF(I656="Да",G656*'⚙️ Настройки'!B15,G656*0.5))))</f>
        <v/>
      </c>
      <c r="K656">
        <f>IF(G656="","",IF(F656="User2",G656,IF(F656="User1",0,IF(I656="Да",G656*'⚙️ Настройки'!B16,G656*0.5))))</f>
        <v/>
      </c>
    </row>
    <row r="657" ht="15.75" customHeight="1" s="149">
      <c r="A657" s="209" t="n"/>
      <c r="B657" s="190">
        <f>IF(ISNUMBER(A657),YEAR(A657)&amp;"-"&amp;TEXT(MONTH(A657),"00"),"")</f>
        <v/>
      </c>
      <c r="J657">
        <f>IF(G657="","",IF(F657="User1",G657,IF(F657="User2",0,IF(I657="Да",G657*'⚙️ Настройки'!B15,G657*0.5))))</f>
        <v/>
      </c>
      <c r="K657">
        <f>IF(G657="","",IF(F657="User2",G657,IF(F657="User1",0,IF(I657="Да",G657*'⚙️ Настройки'!B16,G657*0.5))))</f>
        <v/>
      </c>
    </row>
    <row r="658" ht="15.75" customHeight="1" s="149">
      <c r="A658" s="209" t="n"/>
      <c r="B658" s="190">
        <f>IF(ISNUMBER(A658),YEAR(A658)&amp;"-"&amp;TEXT(MONTH(A658),"00"),"")</f>
        <v/>
      </c>
      <c r="J658">
        <f>IF(G658="","",IF(F658="User1",G658,IF(F658="User2",0,IF(I658="Да",G658*'⚙️ Настройки'!B15,G658*0.5))))</f>
        <v/>
      </c>
      <c r="K658">
        <f>IF(G658="","",IF(F658="User2",G658,IF(F658="User1",0,IF(I658="Да",G658*'⚙️ Настройки'!B16,G658*0.5))))</f>
        <v/>
      </c>
    </row>
    <row r="659" ht="15.75" customHeight="1" s="149">
      <c r="A659" s="209" t="n"/>
      <c r="B659" s="190">
        <f>IF(ISNUMBER(A659),YEAR(A659)&amp;"-"&amp;TEXT(MONTH(A659),"00"),"")</f>
        <v/>
      </c>
      <c r="J659">
        <f>IF(G659="","",IF(F659="User1",G659,IF(F659="User2",0,IF(I659="Да",G659*'⚙️ Настройки'!B15,G659*0.5))))</f>
        <v/>
      </c>
      <c r="K659">
        <f>IF(G659="","",IF(F659="User2",G659,IF(F659="User1",0,IF(I659="Да",G659*'⚙️ Настройки'!B16,G659*0.5))))</f>
        <v/>
      </c>
    </row>
    <row r="660" ht="15.75" customHeight="1" s="149">
      <c r="A660" s="209" t="n"/>
      <c r="B660" s="190">
        <f>IF(ISNUMBER(A660),YEAR(A660)&amp;"-"&amp;TEXT(MONTH(A660),"00"),"")</f>
        <v/>
      </c>
      <c r="J660">
        <f>IF(G660="","",IF(F660="User1",G660,IF(F660="User2",0,IF(I660="Да",G660*'⚙️ Настройки'!B15,G660*0.5))))</f>
        <v/>
      </c>
      <c r="K660">
        <f>IF(G660="","",IF(F660="User2",G660,IF(F660="User1",0,IF(I660="Да",G660*'⚙️ Настройки'!B16,G660*0.5))))</f>
        <v/>
      </c>
    </row>
    <row r="661" ht="15.75" customHeight="1" s="149">
      <c r="A661" s="209" t="n"/>
      <c r="B661" s="190">
        <f>IF(ISNUMBER(A661),YEAR(A661)&amp;"-"&amp;TEXT(MONTH(A661),"00"),"")</f>
        <v/>
      </c>
      <c r="J661">
        <f>IF(G661="","",IF(F661="User1",G661,IF(F661="User2",0,IF(I661="Да",G661*'⚙️ Настройки'!B15,G661*0.5))))</f>
        <v/>
      </c>
      <c r="K661">
        <f>IF(G661="","",IF(F661="User2",G661,IF(F661="User1",0,IF(I661="Да",G661*'⚙️ Настройки'!B16,G661*0.5))))</f>
        <v/>
      </c>
    </row>
    <row r="662" ht="15.75" customHeight="1" s="149">
      <c r="A662" s="209" t="n"/>
      <c r="B662" s="190">
        <f>IF(ISNUMBER(A662),YEAR(A662)&amp;"-"&amp;TEXT(MONTH(A662),"00"),"")</f>
        <v/>
      </c>
      <c r="J662">
        <f>IF(G662="","",IF(F662="User1",G662,IF(F662="User2",0,IF(I662="Да",G662*'⚙️ Настройки'!B15,G662*0.5))))</f>
        <v/>
      </c>
      <c r="K662">
        <f>IF(G662="","",IF(F662="User2",G662,IF(F662="User1",0,IF(I662="Да",G662*'⚙️ Настройки'!B16,G662*0.5))))</f>
        <v/>
      </c>
    </row>
    <row r="663" ht="15.75" customHeight="1" s="149">
      <c r="A663" s="209" t="n"/>
      <c r="B663" s="190">
        <f>IF(ISNUMBER(A663),YEAR(A663)&amp;"-"&amp;TEXT(MONTH(A663),"00"),"")</f>
        <v/>
      </c>
      <c r="J663">
        <f>IF(G663="","",IF(F663="User1",G663,IF(F663="User2",0,IF(I663="Да",G663*'⚙️ Настройки'!B15,G663*0.5))))</f>
        <v/>
      </c>
      <c r="K663">
        <f>IF(G663="","",IF(F663="User2",G663,IF(F663="User1",0,IF(I663="Да",G663*'⚙️ Настройки'!B16,G663*0.5))))</f>
        <v/>
      </c>
    </row>
    <row r="664" ht="15.75" customHeight="1" s="149">
      <c r="A664" s="209" t="n"/>
      <c r="B664" s="190">
        <f>IF(ISNUMBER(A664),YEAR(A664)&amp;"-"&amp;TEXT(MONTH(A664),"00"),"")</f>
        <v/>
      </c>
      <c r="J664">
        <f>IF(G664="","",IF(F664="User1",G664,IF(F664="User2",0,IF(I664="Да",G664*'⚙️ Настройки'!B15,G664*0.5))))</f>
        <v/>
      </c>
      <c r="K664">
        <f>IF(G664="","",IF(F664="User2",G664,IF(F664="User1",0,IF(I664="Да",G664*'⚙️ Настройки'!B16,G664*0.5))))</f>
        <v/>
      </c>
    </row>
    <row r="665" ht="15.75" customHeight="1" s="149">
      <c r="A665" s="209" t="n"/>
      <c r="B665" s="190">
        <f>IF(ISNUMBER(A665),YEAR(A665)&amp;"-"&amp;TEXT(MONTH(A665),"00"),"")</f>
        <v/>
      </c>
      <c r="J665">
        <f>IF(G665="","",IF(F665="User1",G665,IF(F665="User2",0,IF(I665="Да",G665*'⚙️ Настройки'!B15,G665*0.5))))</f>
        <v/>
      </c>
      <c r="K665">
        <f>IF(G665="","",IF(F665="User2",G665,IF(F665="User1",0,IF(I665="Да",G665*'⚙️ Настройки'!B16,G665*0.5))))</f>
        <v/>
      </c>
    </row>
    <row r="666" ht="15.75" customHeight="1" s="149">
      <c r="A666" s="209" t="n"/>
      <c r="B666" s="190">
        <f>IF(ISNUMBER(A666),YEAR(A666)&amp;"-"&amp;TEXT(MONTH(A666),"00"),"")</f>
        <v/>
      </c>
      <c r="J666">
        <f>IF(G666="","",IF(F666="User1",G666,IF(F666="User2",0,IF(I666="Да",G666*'⚙️ Настройки'!B15,G666*0.5))))</f>
        <v/>
      </c>
      <c r="K666">
        <f>IF(G666="","",IF(F666="User2",G666,IF(F666="User1",0,IF(I666="Да",G666*'⚙️ Настройки'!B16,G666*0.5))))</f>
        <v/>
      </c>
    </row>
    <row r="667" ht="15.75" customHeight="1" s="149">
      <c r="A667" s="209" t="n"/>
      <c r="B667" s="190">
        <f>IF(ISNUMBER(A667),YEAR(A667)&amp;"-"&amp;TEXT(MONTH(A667),"00"),"")</f>
        <v/>
      </c>
      <c r="J667">
        <f>IF(G667="","",IF(F667="User1",G667,IF(F667="User2",0,IF(I667="Да",G667*'⚙️ Настройки'!B15,G667*0.5))))</f>
        <v/>
      </c>
      <c r="K667">
        <f>IF(G667="","",IF(F667="User2",G667,IF(F667="User1",0,IF(I667="Да",G667*'⚙️ Настройки'!B16,G667*0.5))))</f>
        <v/>
      </c>
    </row>
    <row r="668" ht="15.75" customHeight="1" s="149">
      <c r="A668" s="209" t="n"/>
      <c r="B668" s="190">
        <f>IF(ISNUMBER(A668),YEAR(A668)&amp;"-"&amp;TEXT(MONTH(A668),"00"),"")</f>
        <v/>
      </c>
      <c r="J668">
        <f>IF(G668="","",IF(F668="User1",G668,IF(F668="User2",0,IF(I668="Да",G668*'⚙️ Настройки'!B15,G668*0.5))))</f>
        <v/>
      </c>
      <c r="K668">
        <f>IF(G668="","",IF(F668="User2",G668,IF(F668="User1",0,IF(I668="Да",G668*'⚙️ Настройки'!B16,G668*0.5))))</f>
        <v/>
      </c>
    </row>
    <row r="669" ht="15.75" customHeight="1" s="149">
      <c r="A669" s="209" t="n"/>
      <c r="B669" s="190">
        <f>IF(ISNUMBER(A669),YEAR(A669)&amp;"-"&amp;TEXT(MONTH(A669),"00"),"")</f>
        <v/>
      </c>
      <c r="J669">
        <f>IF(G669="","",IF(F669="User1",G669,IF(F669="User2",0,IF(I669="Да",G669*'⚙️ Настройки'!B15,G669*0.5))))</f>
        <v/>
      </c>
      <c r="K669">
        <f>IF(G669="","",IF(F669="User2",G669,IF(F669="User1",0,IF(I669="Да",G669*'⚙️ Настройки'!B16,G669*0.5))))</f>
        <v/>
      </c>
    </row>
    <row r="670" ht="15.75" customHeight="1" s="149">
      <c r="A670" s="209" t="n"/>
      <c r="B670" s="190">
        <f>IF(ISNUMBER(A670),YEAR(A670)&amp;"-"&amp;TEXT(MONTH(A670),"00"),"")</f>
        <v/>
      </c>
      <c r="J670">
        <f>IF(G670="","",IF(F670="User1",G670,IF(F670="User2",0,IF(I670="Да",G670*'⚙️ Настройки'!B15,G670*0.5))))</f>
        <v/>
      </c>
      <c r="K670">
        <f>IF(G670="","",IF(F670="User2",G670,IF(F670="User1",0,IF(I670="Да",G670*'⚙️ Настройки'!B16,G670*0.5))))</f>
        <v/>
      </c>
    </row>
    <row r="671" ht="15.75" customHeight="1" s="149">
      <c r="A671" s="209" t="n"/>
      <c r="B671" s="190">
        <f>IF(ISNUMBER(A671),YEAR(A671)&amp;"-"&amp;TEXT(MONTH(A671),"00"),"")</f>
        <v/>
      </c>
      <c r="J671">
        <f>IF(G671="","",IF(F671="User1",G671,IF(F671="User2",0,IF(I671="Да",G671*'⚙️ Настройки'!B15,G671*0.5))))</f>
        <v/>
      </c>
      <c r="K671">
        <f>IF(G671="","",IF(F671="User2",G671,IF(F671="User1",0,IF(I671="Да",G671*'⚙️ Настройки'!B16,G671*0.5))))</f>
        <v/>
      </c>
    </row>
    <row r="672" ht="15.75" customHeight="1" s="149">
      <c r="A672" s="209" t="n"/>
      <c r="B672" s="190">
        <f>IF(ISNUMBER(A672),YEAR(A672)&amp;"-"&amp;TEXT(MONTH(A672),"00"),"")</f>
        <v/>
      </c>
      <c r="J672">
        <f>IF(G672="","",IF(F672="User1",G672,IF(F672="User2",0,IF(I672="Да",G672*'⚙️ Настройки'!B15,G672*0.5))))</f>
        <v/>
      </c>
      <c r="K672">
        <f>IF(G672="","",IF(F672="User2",G672,IF(F672="User1",0,IF(I672="Да",G672*'⚙️ Настройки'!B16,G672*0.5))))</f>
        <v/>
      </c>
    </row>
    <row r="673" ht="15.75" customHeight="1" s="149">
      <c r="A673" s="209" t="n"/>
      <c r="B673" s="190">
        <f>IF(ISNUMBER(A673),YEAR(A673)&amp;"-"&amp;TEXT(MONTH(A673),"00"),"")</f>
        <v/>
      </c>
      <c r="J673">
        <f>IF(G673="","",IF(F673="User1",G673,IF(F673="User2",0,IF(I673="Да",G673*'⚙️ Настройки'!B15,G673*0.5))))</f>
        <v/>
      </c>
      <c r="K673">
        <f>IF(G673="","",IF(F673="User2",G673,IF(F673="User1",0,IF(I673="Да",G673*'⚙️ Настройки'!B16,G673*0.5))))</f>
        <v/>
      </c>
    </row>
    <row r="674" ht="15.75" customHeight="1" s="149">
      <c r="A674" s="209" t="n"/>
      <c r="B674" s="190">
        <f>IF(ISNUMBER(A674),YEAR(A674)&amp;"-"&amp;TEXT(MONTH(A674),"00"),"")</f>
        <v/>
      </c>
      <c r="J674">
        <f>IF(G674="","",IF(F674="User1",G674,IF(F674="User2",0,IF(I674="Да",G674*'⚙️ Настройки'!B15,G674*0.5))))</f>
        <v/>
      </c>
      <c r="K674">
        <f>IF(G674="","",IF(F674="User2",G674,IF(F674="User1",0,IF(I674="Да",G674*'⚙️ Настройки'!B16,G674*0.5))))</f>
        <v/>
      </c>
    </row>
    <row r="675" ht="15.75" customHeight="1" s="149">
      <c r="A675" s="209" t="n"/>
      <c r="B675" s="190">
        <f>IF(ISNUMBER(A675),YEAR(A675)&amp;"-"&amp;TEXT(MONTH(A675),"00"),"")</f>
        <v/>
      </c>
      <c r="J675">
        <f>IF(G675="","",IF(F675="User1",G675,IF(F675="User2",0,IF(I675="Да",G675*'⚙️ Настройки'!B15,G675*0.5))))</f>
        <v/>
      </c>
      <c r="K675">
        <f>IF(G675="","",IF(F675="User2",G675,IF(F675="User1",0,IF(I675="Да",G675*'⚙️ Настройки'!B16,G675*0.5))))</f>
        <v/>
      </c>
    </row>
    <row r="676" ht="15.75" customHeight="1" s="149">
      <c r="A676" s="209" t="n"/>
      <c r="B676" s="190">
        <f>IF(ISNUMBER(A676),YEAR(A676)&amp;"-"&amp;TEXT(MONTH(A676),"00"),"")</f>
        <v/>
      </c>
      <c r="J676">
        <f>IF(G676="","",IF(F676="User1",G676,IF(F676="User2",0,IF(I676="Да",G676*'⚙️ Настройки'!B15,G676*0.5))))</f>
        <v/>
      </c>
      <c r="K676">
        <f>IF(G676="","",IF(F676="User2",G676,IF(F676="User1",0,IF(I676="Да",G676*'⚙️ Настройки'!B16,G676*0.5))))</f>
        <v/>
      </c>
    </row>
    <row r="677" ht="15.75" customHeight="1" s="149">
      <c r="A677" s="209" t="n"/>
      <c r="B677" s="190">
        <f>IF(ISNUMBER(A677),YEAR(A677)&amp;"-"&amp;TEXT(MONTH(A677),"00"),"")</f>
        <v/>
      </c>
      <c r="J677">
        <f>IF(G677="","",IF(F677="User1",G677,IF(F677="User2",0,IF(I677="Да",G677*'⚙️ Настройки'!B15,G677*0.5))))</f>
        <v/>
      </c>
      <c r="K677">
        <f>IF(G677="","",IF(F677="User2",G677,IF(F677="User1",0,IF(I677="Да",G677*'⚙️ Настройки'!B16,G677*0.5))))</f>
        <v/>
      </c>
    </row>
    <row r="678" ht="15.75" customHeight="1" s="149">
      <c r="A678" s="209" t="n"/>
      <c r="B678" s="190">
        <f>IF(ISNUMBER(A678),YEAR(A678)&amp;"-"&amp;TEXT(MONTH(A678),"00"),"")</f>
        <v/>
      </c>
      <c r="J678">
        <f>IF(G678="","",IF(F678="User1",G678,IF(F678="User2",0,IF(I678="Да",G678*'⚙️ Настройки'!B15,G678*0.5))))</f>
        <v/>
      </c>
      <c r="K678">
        <f>IF(G678="","",IF(F678="User2",G678,IF(F678="User1",0,IF(I678="Да",G678*'⚙️ Настройки'!B16,G678*0.5))))</f>
        <v/>
      </c>
    </row>
    <row r="679" ht="15.75" customHeight="1" s="149">
      <c r="A679" s="209" t="n"/>
      <c r="B679" s="190">
        <f>IF(ISNUMBER(A679),YEAR(A679)&amp;"-"&amp;TEXT(MONTH(A679),"00"),"")</f>
        <v/>
      </c>
      <c r="J679">
        <f>IF(G679="","",IF(F679="User1",G679,IF(F679="User2",0,IF(I679="Да",G679*'⚙️ Настройки'!B15,G679*0.5))))</f>
        <v/>
      </c>
      <c r="K679">
        <f>IF(G679="","",IF(F679="User2",G679,IF(F679="User1",0,IF(I679="Да",G679*'⚙️ Настройки'!B16,G679*0.5))))</f>
        <v/>
      </c>
    </row>
    <row r="680" ht="15.75" customHeight="1" s="149">
      <c r="A680" s="209" t="n"/>
      <c r="B680" s="190">
        <f>IF(ISNUMBER(A680),YEAR(A680)&amp;"-"&amp;TEXT(MONTH(A680),"00"),"")</f>
        <v/>
      </c>
      <c r="J680">
        <f>IF(G680="","",IF(F680="User1",G680,IF(F680="User2",0,IF(I680="Да",G680*'⚙️ Настройки'!B15,G680*0.5))))</f>
        <v/>
      </c>
      <c r="K680">
        <f>IF(G680="","",IF(F680="User2",G680,IF(F680="User1",0,IF(I680="Да",G680*'⚙️ Настройки'!B16,G680*0.5))))</f>
        <v/>
      </c>
    </row>
    <row r="681" ht="15.75" customHeight="1" s="149">
      <c r="A681" s="209" t="n"/>
      <c r="B681" s="190">
        <f>IF(ISNUMBER(A681),YEAR(A681)&amp;"-"&amp;TEXT(MONTH(A681),"00"),"")</f>
        <v/>
      </c>
      <c r="J681">
        <f>IF(G681="","",IF(F681="User1",G681,IF(F681="User2",0,IF(I681="Да",G681*'⚙️ Настройки'!B15,G681*0.5))))</f>
        <v/>
      </c>
      <c r="K681">
        <f>IF(G681="","",IF(F681="User2",G681,IF(F681="User1",0,IF(I681="Да",G681*'⚙️ Настройки'!B16,G681*0.5))))</f>
        <v/>
      </c>
    </row>
    <row r="682" ht="15.75" customHeight="1" s="149">
      <c r="A682" s="209" t="n"/>
      <c r="B682" s="190">
        <f>IF(ISNUMBER(A682),YEAR(A682)&amp;"-"&amp;TEXT(MONTH(A682),"00"),"")</f>
        <v/>
      </c>
      <c r="J682">
        <f>IF(G682="","",IF(F682="User1",G682,IF(F682="User2",0,IF(I682="Да",G682*'⚙️ Настройки'!B15,G682*0.5))))</f>
        <v/>
      </c>
      <c r="K682">
        <f>IF(G682="","",IF(F682="User2",G682,IF(F682="User1",0,IF(I682="Да",G682*'⚙️ Настройки'!B16,G682*0.5))))</f>
        <v/>
      </c>
    </row>
    <row r="683" ht="15.75" customHeight="1" s="149">
      <c r="A683" s="209" t="n"/>
      <c r="B683" s="190">
        <f>IF(ISNUMBER(A683),YEAR(A683)&amp;"-"&amp;TEXT(MONTH(A683),"00"),"")</f>
        <v/>
      </c>
      <c r="J683">
        <f>IF(G683="","",IF(F683="User1",G683,IF(F683="User2",0,IF(I683="Да",G683*'⚙️ Настройки'!B15,G683*0.5))))</f>
        <v/>
      </c>
      <c r="K683">
        <f>IF(G683="","",IF(F683="User2",G683,IF(F683="User1",0,IF(I683="Да",G683*'⚙️ Настройки'!B16,G683*0.5))))</f>
        <v/>
      </c>
    </row>
    <row r="684" ht="15.75" customHeight="1" s="149">
      <c r="A684" s="209" t="n"/>
      <c r="B684" s="190">
        <f>IF(ISNUMBER(A684),YEAR(A684)&amp;"-"&amp;TEXT(MONTH(A684),"00"),"")</f>
        <v/>
      </c>
      <c r="J684">
        <f>IF(G684="","",IF(F684="User1",G684,IF(F684="User2",0,IF(I684="Да",G684*'⚙️ Настройки'!B15,G684*0.5))))</f>
        <v/>
      </c>
      <c r="K684">
        <f>IF(G684="","",IF(F684="User2",G684,IF(F684="User1",0,IF(I684="Да",G684*'⚙️ Настройки'!B16,G684*0.5))))</f>
        <v/>
      </c>
    </row>
    <row r="685" ht="15.75" customHeight="1" s="149">
      <c r="A685" s="209" t="n"/>
      <c r="B685" s="190">
        <f>IF(ISNUMBER(A685),YEAR(A685)&amp;"-"&amp;TEXT(MONTH(A685),"00"),"")</f>
        <v/>
      </c>
      <c r="J685">
        <f>IF(G685="","",IF(F685="User1",G685,IF(F685="User2",0,IF(I685="Да",G685*'⚙️ Настройки'!B15,G685*0.5))))</f>
        <v/>
      </c>
      <c r="K685">
        <f>IF(G685="","",IF(F685="User2",G685,IF(F685="User1",0,IF(I685="Да",G685*'⚙️ Настройки'!B16,G685*0.5))))</f>
        <v/>
      </c>
    </row>
    <row r="686" ht="15.75" customHeight="1" s="149">
      <c r="A686" s="209" t="n"/>
      <c r="B686" s="190">
        <f>IF(ISNUMBER(A686),YEAR(A686)&amp;"-"&amp;TEXT(MONTH(A686),"00"),"")</f>
        <v/>
      </c>
      <c r="J686">
        <f>IF(G686="","",IF(F686="User1",G686,IF(F686="User2",0,IF(I686="Да",G686*'⚙️ Настройки'!B15,G686*0.5))))</f>
        <v/>
      </c>
      <c r="K686">
        <f>IF(G686="","",IF(F686="User2",G686,IF(F686="User1",0,IF(I686="Да",G686*'⚙️ Настройки'!B16,G686*0.5))))</f>
        <v/>
      </c>
    </row>
    <row r="687" ht="15.75" customHeight="1" s="149">
      <c r="A687" s="209" t="n"/>
      <c r="B687" s="190">
        <f>IF(ISNUMBER(A687),YEAR(A687)&amp;"-"&amp;TEXT(MONTH(A687),"00"),"")</f>
        <v/>
      </c>
      <c r="J687">
        <f>IF(G687="","",IF(F687="User1",G687,IF(F687="User2",0,IF(I687="Да",G687*'⚙️ Настройки'!B15,G687*0.5))))</f>
        <v/>
      </c>
      <c r="K687">
        <f>IF(G687="","",IF(F687="User2",G687,IF(F687="User1",0,IF(I687="Да",G687*'⚙️ Настройки'!B16,G687*0.5))))</f>
        <v/>
      </c>
    </row>
    <row r="688" ht="15.75" customHeight="1" s="149">
      <c r="A688" s="209" t="n"/>
      <c r="B688" s="190">
        <f>IF(ISNUMBER(A688),YEAR(A688)&amp;"-"&amp;TEXT(MONTH(A688),"00"),"")</f>
        <v/>
      </c>
      <c r="J688">
        <f>IF(G688="","",IF(F688="User1",G688,IF(F688="User2",0,IF(I688="Да",G688*'⚙️ Настройки'!B15,G688*0.5))))</f>
        <v/>
      </c>
      <c r="K688">
        <f>IF(G688="","",IF(F688="User2",G688,IF(F688="User1",0,IF(I688="Да",G688*'⚙️ Настройки'!B16,G688*0.5))))</f>
        <v/>
      </c>
    </row>
    <row r="689" ht="15.75" customHeight="1" s="149">
      <c r="A689" s="209" t="n"/>
      <c r="B689" s="190">
        <f>IF(ISNUMBER(A689),YEAR(A689)&amp;"-"&amp;TEXT(MONTH(A689),"00"),"")</f>
        <v/>
      </c>
      <c r="J689">
        <f>IF(G689="","",IF(F689="User1",G689,IF(F689="User2",0,IF(I689="Да",G689*'⚙️ Настройки'!B15,G689*0.5))))</f>
        <v/>
      </c>
      <c r="K689">
        <f>IF(G689="","",IF(F689="User2",G689,IF(F689="User1",0,IF(I689="Да",G689*'⚙️ Настройки'!B16,G689*0.5))))</f>
        <v/>
      </c>
    </row>
    <row r="690" ht="15.75" customHeight="1" s="149">
      <c r="A690" s="209" t="n"/>
      <c r="B690" s="190">
        <f>IF(ISNUMBER(A690),YEAR(A690)&amp;"-"&amp;TEXT(MONTH(A690),"00"),"")</f>
        <v/>
      </c>
      <c r="J690">
        <f>IF(G690="","",IF(F690="User1",G690,IF(F690="User2",0,IF(I690="Да",G690*'⚙️ Настройки'!B15,G690*0.5))))</f>
        <v/>
      </c>
      <c r="K690">
        <f>IF(G690="","",IF(F690="User2",G690,IF(F690="User1",0,IF(I690="Да",G690*'⚙️ Настройки'!B16,G690*0.5))))</f>
        <v/>
      </c>
    </row>
    <row r="691" ht="15.75" customHeight="1" s="149">
      <c r="A691" s="209" t="n"/>
      <c r="B691" s="190">
        <f>IF(ISNUMBER(A691),YEAR(A691)&amp;"-"&amp;TEXT(MONTH(A691),"00"),"")</f>
        <v/>
      </c>
      <c r="J691">
        <f>IF(G691="","",IF(F691="User1",G691,IF(F691="User2",0,IF(I691="Да",G691*'⚙️ Настройки'!B15,G691*0.5))))</f>
        <v/>
      </c>
      <c r="K691">
        <f>IF(G691="","",IF(F691="User2",G691,IF(F691="User1",0,IF(I691="Да",G691*'⚙️ Настройки'!B16,G691*0.5))))</f>
        <v/>
      </c>
    </row>
    <row r="692" ht="15.75" customHeight="1" s="149">
      <c r="A692" s="209" t="n"/>
      <c r="B692" s="190">
        <f>IF(ISNUMBER(A692),YEAR(A692)&amp;"-"&amp;TEXT(MONTH(A692),"00"),"")</f>
        <v/>
      </c>
      <c r="J692">
        <f>IF(G692="","",IF(F692="User1",G692,IF(F692="User2",0,IF(I692="Да",G692*'⚙️ Настройки'!B15,G692*0.5))))</f>
        <v/>
      </c>
      <c r="K692">
        <f>IF(G692="","",IF(F692="User2",G692,IF(F692="User1",0,IF(I692="Да",G692*'⚙️ Настройки'!B16,G692*0.5))))</f>
        <v/>
      </c>
    </row>
    <row r="693" ht="15.75" customHeight="1" s="149">
      <c r="A693" s="209" t="n"/>
      <c r="B693" s="190">
        <f>IF(ISNUMBER(A693),YEAR(A693)&amp;"-"&amp;TEXT(MONTH(A693),"00"),"")</f>
        <v/>
      </c>
      <c r="J693">
        <f>IF(G693="","",IF(F693="User1",G693,IF(F693="User2",0,IF(I693="Да",G693*'⚙️ Настройки'!B15,G693*0.5))))</f>
        <v/>
      </c>
      <c r="K693">
        <f>IF(G693="","",IF(F693="User2",G693,IF(F693="User1",0,IF(I693="Да",G693*'⚙️ Настройки'!B16,G693*0.5))))</f>
        <v/>
      </c>
    </row>
    <row r="694" ht="15.75" customHeight="1" s="149">
      <c r="A694" s="209" t="n"/>
      <c r="B694" s="190">
        <f>IF(ISNUMBER(A694),YEAR(A694)&amp;"-"&amp;TEXT(MONTH(A694),"00"),"")</f>
        <v/>
      </c>
      <c r="J694">
        <f>IF(G694="","",IF(F694="User1",G694,IF(F694="User2",0,IF(I694="Да",G694*'⚙️ Настройки'!B15,G694*0.5))))</f>
        <v/>
      </c>
      <c r="K694">
        <f>IF(G694="","",IF(F694="User2",G694,IF(F694="User1",0,IF(I694="Да",G694*'⚙️ Настройки'!B16,G694*0.5))))</f>
        <v/>
      </c>
    </row>
    <row r="695" ht="15.75" customHeight="1" s="149">
      <c r="A695" s="209" t="n"/>
      <c r="B695" s="190">
        <f>IF(ISNUMBER(A695),YEAR(A695)&amp;"-"&amp;TEXT(MONTH(A695),"00"),"")</f>
        <v/>
      </c>
      <c r="J695">
        <f>IF(G695="","",IF(F695="User1",G695,IF(F695="User2",0,IF(I695="Да",G695*'⚙️ Настройки'!B15,G695*0.5))))</f>
        <v/>
      </c>
      <c r="K695">
        <f>IF(G695="","",IF(F695="User2",G695,IF(F695="User1",0,IF(I695="Да",G695*'⚙️ Настройки'!B16,G695*0.5))))</f>
        <v/>
      </c>
    </row>
    <row r="696" ht="15.75" customHeight="1" s="149">
      <c r="A696" s="209" t="n"/>
      <c r="B696" s="190">
        <f>IF(ISNUMBER(A696),YEAR(A696)&amp;"-"&amp;TEXT(MONTH(A696),"00"),"")</f>
        <v/>
      </c>
      <c r="J696">
        <f>IF(G696="","",IF(F696="User1",G696,IF(F696="User2",0,IF(I696="Да",G696*'⚙️ Настройки'!B15,G696*0.5))))</f>
        <v/>
      </c>
      <c r="K696">
        <f>IF(G696="","",IF(F696="User2",G696,IF(F696="User1",0,IF(I696="Да",G696*'⚙️ Настройки'!B16,G696*0.5))))</f>
        <v/>
      </c>
    </row>
    <row r="697" ht="15.75" customHeight="1" s="149">
      <c r="A697" s="209" t="n"/>
      <c r="B697" s="190">
        <f>IF(ISNUMBER(A697),YEAR(A697)&amp;"-"&amp;TEXT(MONTH(A697),"00"),"")</f>
        <v/>
      </c>
      <c r="J697">
        <f>IF(G697="","",IF(F697="User1",G697,IF(F697="User2",0,IF(I697="Да",G697*'⚙️ Настройки'!B15,G697*0.5))))</f>
        <v/>
      </c>
      <c r="K697">
        <f>IF(G697="","",IF(F697="User2",G697,IF(F697="User1",0,IF(I697="Да",G697*'⚙️ Настройки'!B16,G697*0.5))))</f>
        <v/>
      </c>
    </row>
    <row r="698" ht="15.75" customHeight="1" s="149">
      <c r="A698" s="209" t="n"/>
      <c r="B698" s="190">
        <f>IF(ISNUMBER(A698),YEAR(A698)&amp;"-"&amp;TEXT(MONTH(A698),"00"),"")</f>
        <v/>
      </c>
      <c r="J698">
        <f>IF(G698="","",IF(F698="User1",G698,IF(F698="User2",0,IF(I698="Да",G698*'⚙️ Настройки'!B15,G698*0.5))))</f>
        <v/>
      </c>
      <c r="K698">
        <f>IF(G698="","",IF(F698="User2",G698,IF(F698="User1",0,IF(I698="Да",G698*'⚙️ Настройки'!B16,G698*0.5))))</f>
        <v/>
      </c>
    </row>
    <row r="699" ht="15.75" customHeight="1" s="149">
      <c r="A699" s="209" t="n"/>
      <c r="B699" s="190">
        <f>IF(ISNUMBER(A699),YEAR(A699)&amp;"-"&amp;TEXT(MONTH(A699),"00"),"")</f>
        <v/>
      </c>
      <c r="J699">
        <f>IF(G699="","",IF(F699="User1",G699,IF(F699="User2",0,IF(I699="Да",G699*'⚙️ Настройки'!B15,G699*0.5))))</f>
        <v/>
      </c>
      <c r="K699">
        <f>IF(G699="","",IF(F699="User2",G699,IF(F699="User1",0,IF(I699="Да",G699*'⚙️ Настройки'!B16,G699*0.5))))</f>
        <v/>
      </c>
    </row>
    <row r="700" ht="15.75" customHeight="1" s="149">
      <c r="A700" s="209" t="n"/>
      <c r="B700" s="190">
        <f>IF(ISNUMBER(A700),YEAR(A700)&amp;"-"&amp;TEXT(MONTH(A700),"00"),"")</f>
        <v/>
      </c>
      <c r="J700">
        <f>IF(G700="","",IF(F700="User1",G700,IF(F700="User2",0,IF(I700="Да",G700*'⚙️ Настройки'!B15,G700*0.5))))</f>
        <v/>
      </c>
      <c r="K700">
        <f>IF(G700="","",IF(F700="User2",G700,IF(F700="User1",0,IF(I700="Да",G700*'⚙️ Настройки'!B16,G700*0.5))))</f>
        <v/>
      </c>
    </row>
    <row r="701" ht="15.75" customHeight="1" s="149">
      <c r="A701" s="209" t="n"/>
      <c r="B701" s="190">
        <f>IF(ISNUMBER(A701),YEAR(A701)&amp;"-"&amp;TEXT(MONTH(A701),"00"),"")</f>
        <v/>
      </c>
      <c r="J701">
        <f>IF(G701="","",IF(F701="User1",G701,IF(F701="User2",0,IF(I701="Да",G701*'⚙️ Настройки'!B15,G701*0.5))))</f>
        <v/>
      </c>
      <c r="K701">
        <f>IF(G701="","",IF(F701="User2",G701,IF(F701="User1",0,IF(I701="Да",G701*'⚙️ Настройки'!B16,G701*0.5))))</f>
        <v/>
      </c>
    </row>
    <row r="702" ht="15.75" customHeight="1" s="149">
      <c r="A702" s="209" t="n"/>
      <c r="B702" s="190">
        <f>IF(ISNUMBER(A702),YEAR(A702)&amp;"-"&amp;TEXT(MONTH(A702),"00"),"")</f>
        <v/>
      </c>
      <c r="J702">
        <f>IF(G702="","",IF(F702="User1",G702,IF(F702="User2",0,IF(I702="Да",G702*'⚙️ Настройки'!B15,G702*0.5))))</f>
        <v/>
      </c>
      <c r="K702">
        <f>IF(G702="","",IF(F702="User2",G702,IF(F702="User1",0,IF(I702="Да",G702*'⚙️ Настройки'!B16,G702*0.5))))</f>
        <v/>
      </c>
    </row>
    <row r="703" ht="15.75" customHeight="1" s="149">
      <c r="A703" s="209" t="n"/>
      <c r="B703" s="190">
        <f>IF(ISNUMBER(A703),YEAR(A703)&amp;"-"&amp;TEXT(MONTH(A703),"00"),"")</f>
        <v/>
      </c>
      <c r="J703">
        <f>IF(G703="","",IF(F703="User1",G703,IF(F703="User2",0,IF(I703="Да",G703*'⚙️ Настройки'!B15,G703*0.5))))</f>
        <v/>
      </c>
      <c r="K703">
        <f>IF(G703="","",IF(F703="User2",G703,IF(F703="User1",0,IF(I703="Да",G703*'⚙️ Настройки'!B16,G703*0.5))))</f>
        <v/>
      </c>
    </row>
    <row r="704" ht="15.75" customHeight="1" s="149">
      <c r="A704" s="209" t="n"/>
      <c r="B704" s="190">
        <f>IF(ISNUMBER(A704),YEAR(A704)&amp;"-"&amp;TEXT(MONTH(A704),"00"),"")</f>
        <v/>
      </c>
      <c r="J704">
        <f>IF(G704="","",IF(F704="User1",G704,IF(F704="User2",0,IF(I704="Да",G704*'⚙️ Настройки'!B15,G704*0.5))))</f>
        <v/>
      </c>
      <c r="K704">
        <f>IF(G704="","",IF(F704="User2",G704,IF(F704="User1",0,IF(I704="Да",G704*'⚙️ Настройки'!B16,G704*0.5))))</f>
        <v/>
      </c>
    </row>
    <row r="705" ht="15.75" customHeight="1" s="149">
      <c r="A705" s="209" t="n"/>
      <c r="B705" s="190">
        <f>IF(ISNUMBER(A705),YEAR(A705)&amp;"-"&amp;TEXT(MONTH(A705),"00"),"")</f>
        <v/>
      </c>
      <c r="J705">
        <f>IF(G705="","",IF(F705="User1",G705,IF(F705="User2",0,IF(I705="Да",G705*'⚙️ Настройки'!B15,G705*0.5))))</f>
        <v/>
      </c>
      <c r="K705">
        <f>IF(G705="","",IF(F705="User2",G705,IF(F705="User1",0,IF(I705="Да",G705*'⚙️ Настройки'!B16,G705*0.5))))</f>
        <v/>
      </c>
    </row>
    <row r="706" ht="15.75" customHeight="1" s="149">
      <c r="A706" s="209" t="n"/>
      <c r="B706" s="190">
        <f>IF(ISNUMBER(A706),YEAR(A706)&amp;"-"&amp;TEXT(MONTH(A706),"00"),"")</f>
        <v/>
      </c>
      <c r="J706">
        <f>IF(G706="","",IF(F706="User1",G706,IF(F706="User2",0,IF(I706="Да",G706*'⚙️ Настройки'!B15,G706*0.5))))</f>
        <v/>
      </c>
      <c r="K706">
        <f>IF(G706="","",IF(F706="User2",G706,IF(F706="User1",0,IF(I706="Да",G706*'⚙️ Настройки'!B16,G706*0.5))))</f>
        <v/>
      </c>
    </row>
    <row r="707" ht="15.75" customHeight="1" s="149">
      <c r="A707" s="209" t="n"/>
      <c r="B707" s="190">
        <f>IF(ISNUMBER(A707),YEAR(A707)&amp;"-"&amp;TEXT(MONTH(A707),"00"),"")</f>
        <v/>
      </c>
      <c r="J707">
        <f>IF(G707="","",IF(F707="User1",G707,IF(F707="User2",0,IF(I707="Да",G707*'⚙️ Настройки'!B15,G707*0.5))))</f>
        <v/>
      </c>
      <c r="K707">
        <f>IF(G707="","",IF(F707="User2",G707,IF(F707="User1",0,IF(I707="Да",G707*'⚙️ Настройки'!B16,G707*0.5))))</f>
        <v/>
      </c>
    </row>
    <row r="708" ht="15.75" customHeight="1" s="149">
      <c r="A708" s="209" t="n"/>
      <c r="B708" s="190">
        <f>IF(ISNUMBER(A708),YEAR(A708)&amp;"-"&amp;TEXT(MONTH(A708),"00"),"")</f>
        <v/>
      </c>
      <c r="J708">
        <f>IF(G708="","",IF(F708="User1",G708,IF(F708="User2",0,IF(I708="Да",G708*'⚙️ Настройки'!B15,G708*0.5))))</f>
        <v/>
      </c>
      <c r="K708">
        <f>IF(G708="","",IF(F708="User2",G708,IF(F708="User1",0,IF(I708="Да",G708*'⚙️ Настройки'!B16,G708*0.5))))</f>
        <v/>
      </c>
    </row>
    <row r="709" ht="15.75" customHeight="1" s="149">
      <c r="A709" s="209" t="n"/>
      <c r="B709" s="190">
        <f>IF(ISNUMBER(A709),YEAR(A709)&amp;"-"&amp;TEXT(MONTH(A709),"00"),"")</f>
        <v/>
      </c>
      <c r="J709">
        <f>IF(G709="","",IF(F709="User1",G709,IF(F709="User2",0,IF(I709="Да",G709*'⚙️ Настройки'!B15,G709*0.5))))</f>
        <v/>
      </c>
      <c r="K709">
        <f>IF(G709="","",IF(F709="User2",G709,IF(F709="User1",0,IF(I709="Да",G709*'⚙️ Настройки'!B16,G709*0.5))))</f>
        <v/>
      </c>
    </row>
    <row r="710" ht="15.75" customHeight="1" s="149">
      <c r="A710" s="209" t="n"/>
      <c r="B710" s="190">
        <f>IF(ISNUMBER(A710),YEAR(A710)&amp;"-"&amp;TEXT(MONTH(A710),"00"),"")</f>
        <v/>
      </c>
      <c r="J710">
        <f>IF(G710="","",IF(F710="User1",G710,IF(F710="User2",0,IF(I710="Да",G710*'⚙️ Настройки'!B15,G710*0.5))))</f>
        <v/>
      </c>
      <c r="K710">
        <f>IF(G710="","",IF(F710="User2",G710,IF(F710="User1",0,IF(I710="Да",G710*'⚙️ Настройки'!B16,G710*0.5))))</f>
        <v/>
      </c>
    </row>
    <row r="711" ht="15.75" customHeight="1" s="149">
      <c r="A711" s="209" t="n"/>
      <c r="B711" s="190">
        <f>IF(ISNUMBER(A711),YEAR(A711)&amp;"-"&amp;TEXT(MONTH(A711),"00"),"")</f>
        <v/>
      </c>
      <c r="J711">
        <f>IF(G711="","",IF(F711="User1",G711,IF(F711="User2",0,IF(I711="Да",G711*'⚙️ Настройки'!B15,G711*0.5))))</f>
        <v/>
      </c>
      <c r="K711">
        <f>IF(G711="","",IF(F711="User2",G711,IF(F711="User1",0,IF(I711="Да",G711*'⚙️ Настройки'!B16,G711*0.5))))</f>
        <v/>
      </c>
    </row>
    <row r="712" ht="15.75" customHeight="1" s="149">
      <c r="A712" s="209" t="n"/>
      <c r="B712" s="190">
        <f>IF(ISNUMBER(A712),YEAR(A712)&amp;"-"&amp;TEXT(MONTH(A712),"00"),"")</f>
        <v/>
      </c>
      <c r="J712">
        <f>IF(G712="","",IF(F712="User1",G712,IF(F712="User2",0,IF(I712="Да",G712*'⚙️ Настройки'!B15,G712*0.5))))</f>
        <v/>
      </c>
      <c r="K712">
        <f>IF(G712="","",IF(F712="User2",G712,IF(F712="User1",0,IF(I712="Да",G712*'⚙️ Настройки'!B16,G712*0.5))))</f>
        <v/>
      </c>
    </row>
    <row r="713" ht="15.75" customHeight="1" s="149">
      <c r="A713" s="209" t="n"/>
      <c r="B713" s="190">
        <f>IF(ISNUMBER(A713),YEAR(A713)&amp;"-"&amp;TEXT(MONTH(A713),"00"),"")</f>
        <v/>
      </c>
      <c r="J713">
        <f>IF(G713="","",IF(F713="User1",G713,IF(F713="User2",0,IF(I713="Да",G713*'⚙️ Настройки'!B15,G713*0.5))))</f>
        <v/>
      </c>
      <c r="K713">
        <f>IF(G713="","",IF(F713="User2",G713,IF(F713="User1",0,IF(I713="Да",G713*'⚙️ Настройки'!B16,G713*0.5))))</f>
        <v/>
      </c>
    </row>
    <row r="714" ht="15.75" customHeight="1" s="149">
      <c r="A714" s="209" t="n"/>
      <c r="B714" s="190">
        <f>IF(ISNUMBER(A714),YEAR(A714)&amp;"-"&amp;TEXT(MONTH(A714),"00"),"")</f>
        <v/>
      </c>
      <c r="J714">
        <f>IF(G714="","",IF(F714="User1",G714,IF(F714="User2",0,IF(I714="Да",G714*'⚙️ Настройки'!B15,G714*0.5))))</f>
        <v/>
      </c>
      <c r="K714">
        <f>IF(G714="","",IF(F714="User2",G714,IF(F714="User1",0,IF(I714="Да",G714*'⚙️ Настройки'!B16,G714*0.5))))</f>
        <v/>
      </c>
    </row>
    <row r="715" ht="15.75" customHeight="1" s="149">
      <c r="A715" s="209" t="n"/>
      <c r="B715" s="190">
        <f>IF(ISNUMBER(A715),YEAR(A715)&amp;"-"&amp;TEXT(MONTH(A715),"00"),"")</f>
        <v/>
      </c>
      <c r="J715">
        <f>IF(G715="","",IF(F715="User1",G715,IF(F715="User2",0,IF(I715="Да",G715*'⚙️ Настройки'!B15,G715*0.5))))</f>
        <v/>
      </c>
      <c r="K715">
        <f>IF(G715="","",IF(F715="User2",G715,IF(F715="User1",0,IF(I715="Да",G715*'⚙️ Настройки'!B16,G715*0.5))))</f>
        <v/>
      </c>
    </row>
    <row r="716" ht="15.75" customHeight="1" s="149">
      <c r="A716" s="209" t="n"/>
      <c r="B716" s="190">
        <f>IF(ISNUMBER(A716),YEAR(A716)&amp;"-"&amp;TEXT(MONTH(A716),"00"),"")</f>
        <v/>
      </c>
      <c r="J716">
        <f>IF(G716="","",IF(F716="User1",G716,IF(F716="User2",0,IF(I716="Да",G716*'⚙️ Настройки'!B15,G716*0.5))))</f>
        <v/>
      </c>
      <c r="K716">
        <f>IF(G716="","",IF(F716="User2",G716,IF(F716="User1",0,IF(I716="Да",G716*'⚙️ Настройки'!B16,G716*0.5))))</f>
        <v/>
      </c>
    </row>
    <row r="717" ht="15.75" customHeight="1" s="149">
      <c r="A717" s="209" t="n"/>
      <c r="B717" s="190">
        <f>IF(ISNUMBER(A717),YEAR(A717)&amp;"-"&amp;TEXT(MONTH(A717),"00"),"")</f>
        <v/>
      </c>
      <c r="J717">
        <f>IF(G717="","",IF(F717="User1",G717,IF(F717="User2",0,IF(I717="Да",G717*'⚙️ Настройки'!B15,G717*0.5))))</f>
        <v/>
      </c>
      <c r="K717">
        <f>IF(G717="","",IF(F717="User2",G717,IF(F717="User1",0,IF(I717="Да",G717*'⚙️ Настройки'!B16,G717*0.5))))</f>
        <v/>
      </c>
    </row>
    <row r="718" ht="15.75" customHeight="1" s="149">
      <c r="A718" s="209" t="n"/>
      <c r="B718" s="190">
        <f>IF(ISNUMBER(A718),YEAR(A718)&amp;"-"&amp;TEXT(MONTH(A718),"00"),"")</f>
        <v/>
      </c>
      <c r="J718">
        <f>IF(G718="","",IF(F718="User1",G718,IF(F718="User2",0,IF(I718="Да",G718*'⚙️ Настройки'!B15,G718*0.5))))</f>
        <v/>
      </c>
      <c r="K718">
        <f>IF(G718="","",IF(F718="User2",G718,IF(F718="User1",0,IF(I718="Да",G718*'⚙️ Настройки'!B16,G718*0.5))))</f>
        <v/>
      </c>
    </row>
    <row r="719" ht="15.75" customHeight="1" s="149">
      <c r="A719" s="209" t="n"/>
      <c r="B719" s="190">
        <f>IF(ISNUMBER(A719),YEAR(A719)&amp;"-"&amp;TEXT(MONTH(A719),"00"),"")</f>
        <v/>
      </c>
      <c r="J719">
        <f>IF(G719="","",IF(F719="User1",G719,IF(F719="User2",0,IF(I719="Да",G719*'⚙️ Настройки'!B15,G719*0.5))))</f>
        <v/>
      </c>
      <c r="K719">
        <f>IF(G719="","",IF(F719="User2",G719,IF(F719="User1",0,IF(I719="Да",G719*'⚙️ Настройки'!B16,G719*0.5))))</f>
        <v/>
      </c>
    </row>
    <row r="720" ht="15.75" customHeight="1" s="149">
      <c r="A720" s="209" t="n"/>
      <c r="B720" s="190">
        <f>IF(ISNUMBER(A720),YEAR(A720)&amp;"-"&amp;TEXT(MONTH(A720),"00"),"")</f>
        <v/>
      </c>
      <c r="J720">
        <f>IF(G720="","",IF(F720="User1",G720,IF(F720="User2",0,IF(I720="Да",G720*'⚙️ Настройки'!B15,G720*0.5))))</f>
        <v/>
      </c>
      <c r="K720">
        <f>IF(G720="","",IF(F720="User2",G720,IF(F720="User1",0,IF(I720="Да",G720*'⚙️ Настройки'!B16,G720*0.5))))</f>
        <v/>
      </c>
    </row>
    <row r="721" ht="15.75" customHeight="1" s="149">
      <c r="A721" s="209" t="n"/>
      <c r="B721" s="190">
        <f>IF(ISNUMBER(A721),YEAR(A721)&amp;"-"&amp;TEXT(MONTH(A721),"00"),"")</f>
        <v/>
      </c>
      <c r="J721">
        <f>IF(G721="","",IF(F721="User1",G721,IF(F721="User2",0,IF(I721="Да",G721*'⚙️ Настройки'!B15,G721*0.5))))</f>
        <v/>
      </c>
      <c r="K721">
        <f>IF(G721="","",IF(F721="User2",G721,IF(F721="User1",0,IF(I721="Да",G721*'⚙️ Настройки'!B16,G721*0.5))))</f>
        <v/>
      </c>
    </row>
    <row r="722" ht="15.75" customHeight="1" s="149">
      <c r="A722" s="209" t="n"/>
      <c r="B722" s="190">
        <f>IF(ISNUMBER(A722),YEAR(A722)&amp;"-"&amp;TEXT(MONTH(A722),"00"),"")</f>
        <v/>
      </c>
      <c r="J722">
        <f>IF(G722="","",IF(F722="User1",G722,IF(F722="User2",0,IF(I722="Да",G722*'⚙️ Настройки'!B15,G722*0.5))))</f>
        <v/>
      </c>
      <c r="K722">
        <f>IF(G722="","",IF(F722="User2",G722,IF(F722="User1",0,IF(I722="Да",G722*'⚙️ Настройки'!B16,G722*0.5))))</f>
        <v/>
      </c>
    </row>
    <row r="723" ht="15.75" customHeight="1" s="149">
      <c r="A723" s="209" t="n"/>
      <c r="B723" s="190">
        <f>IF(ISNUMBER(A723),YEAR(A723)&amp;"-"&amp;TEXT(MONTH(A723),"00"),"")</f>
        <v/>
      </c>
      <c r="J723">
        <f>IF(G723="","",IF(F723="User1",G723,IF(F723="User2",0,IF(I723="Да",G723*'⚙️ Настройки'!B15,G723*0.5))))</f>
        <v/>
      </c>
      <c r="K723">
        <f>IF(G723="","",IF(F723="User2",G723,IF(F723="User1",0,IF(I723="Да",G723*'⚙️ Настройки'!B16,G723*0.5))))</f>
        <v/>
      </c>
    </row>
    <row r="724" ht="15.75" customHeight="1" s="149">
      <c r="A724" s="209" t="n"/>
      <c r="B724" s="190">
        <f>IF(ISNUMBER(A724),YEAR(A724)&amp;"-"&amp;TEXT(MONTH(A724),"00"),"")</f>
        <v/>
      </c>
      <c r="J724">
        <f>IF(G724="","",IF(F724="User1",G724,IF(F724="User2",0,IF(I724="Да",G724*'⚙️ Настройки'!B15,G724*0.5))))</f>
        <v/>
      </c>
      <c r="K724">
        <f>IF(G724="","",IF(F724="User2",G724,IF(F724="User1",0,IF(I724="Да",G724*'⚙️ Настройки'!B16,G724*0.5))))</f>
        <v/>
      </c>
    </row>
    <row r="725" ht="15.75" customHeight="1" s="149">
      <c r="A725" s="209" t="n"/>
      <c r="B725" s="190">
        <f>IF(ISNUMBER(A725),YEAR(A725)&amp;"-"&amp;TEXT(MONTH(A725),"00"),"")</f>
        <v/>
      </c>
      <c r="J725">
        <f>IF(G725="","",IF(F725="User1",G725,IF(F725="User2",0,IF(I725="Да",G725*'⚙️ Настройки'!B15,G725*0.5))))</f>
        <v/>
      </c>
      <c r="K725">
        <f>IF(G725="","",IF(F725="User2",G725,IF(F725="User1",0,IF(I725="Да",G725*'⚙️ Настройки'!B16,G725*0.5))))</f>
        <v/>
      </c>
    </row>
    <row r="726" ht="15.75" customHeight="1" s="149">
      <c r="A726" s="209" t="n"/>
      <c r="B726" s="190">
        <f>IF(ISNUMBER(A726),YEAR(A726)&amp;"-"&amp;TEXT(MONTH(A726),"00"),"")</f>
        <v/>
      </c>
      <c r="J726">
        <f>IF(G726="","",IF(F726="User1",G726,IF(F726="User2",0,IF(I726="Да",G726*'⚙️ Настройки'!B15,G726*0.5))))</f>
        <v/>
      </c>
      <c r="K726">
        <f>IF(G726="","",IF(F726="User2",G726,IF(F726="User1",0,IF(I726="Да",G726*'⚙️ Настройки'!B16,G726*0.5))))</f>
        <v/>
      </c>
    </row>
    <row r="727" ht="15.75" customHeight="1" s="149">
      <c r="A727" s="209" t="n"/>
      <c r="B727" s="190">
        <f>IF(ISNUMBER(A727),YEAR(A727)&amp;"-"&amp;TEXT(MONTH(A727),"00"),"")</f>
        <v/>
      </c>
      <c r="J727">
        <f>IF(G727="","",IF(F727="User1",G727,IF(F727="User2",0,IF(I727="Да",G727*'⚙️ Настройки'!B15,G727*0.5))))</f>
        <v/>
      </c>
      <c r="K727">
        <f>IF(G727="","",IF(F727="User2",G727,IF(F727="User1",0,IF(I727="Да",G727*'⚙️ Настройки'!B16,G727*0.5))))</f>
        <v/>
      </c>
    </row>
    <row r="728" ht="15.75" customHeight="1" s="149">
      <c r="A728" s="209" t="n"/>
      <c r="B728" s="190">
        <f>IF(ISNUMBER(A728),YEAR(A728)&amp;"-"&amp;TEXT(MONTH(A728),"00"),"")</f>
        <v/>
      </c>
      <c r="J728">
        <f>IF(G728="","",IF(F728="User1",G728,IF(F728="User2",0,IF(I728="Да",G728*'⚙️ Настройки'!B15,G728*0.5))))</f>
        <v/>
      </c>
      <c r="K728">
        <f>IF(G728="","",IF(F728="User2",G728,IF(F728="User1",0,IF(I728="Да",G728*'⚙️ Настройки'!B16,G728*0.5))))</f>
        <v/>
      </c>
    </row>
    <row r="729" ht="15.75" customHeight="1" s="149">
      <c r="A729" s="209" t="n"/>
      <c r="B729" s="190">
        <f>IF(ISNUMBER(A729),YEAR(A729)&amp;"-"&amp;TEXT(MONTH(A729),"00"),"")</f>
        <v/>
      </c>
      <c r="J729">
        <f>IF(G729="","",IF(F729="User1",G729,IF(F729="User2",0,IF(I729="Да",G729*'⚙️ Настройки'!B15,G729*0.5))))</f>
        <v/>
      </c>
      <c r="K729">
        <f>IF(G729="","",IF(F729="User2",G729,IF(F729="User1",0,IF(I729="Да",G729*'⚙️ Настройки'!B16,G729*0.5))))</f>
        <v/>
      </c>
    </row>
    <row r="730" ht="15.75" customHeight="1" s="149">
      <c r="A730" s="209" t="n"/>
      <c r="B730" s="190">
        <f>IF(ISNUMBER(A730),YEAR(A730)&amp;"-"&amp;TEXT(MONTH(A730),"00"),"")</f>
        <v/>
      </c>
      <c r="J730">
        <f>IF(G730="","",IF(F730="User1",G730,IF(F730="User2",0,IF(I730="Да",G730*'⚙️ Настройки'!B15,G730*0.5))))</f>
        <v/>
      </c>
      <c r="K730">
        <f>IF(G730="","",IF(F730="User2",G730,IF(F730="User1",0,IF(I730="Да",G730*'⚙️ Настройки'!B16,G730*0.5))))</f>
        <v/>
      </c>
    </row>
    <row r="731" ht="15.75" customHeight="1" s="149">
      <c r="A731" s="209" t="n"/>
      <c r="B731" s="190">
        <f>IF(ISNUMBER(A731),YEAR(A731)&amp;"-"&amp;TEXT(MONTH(A731),"00"),"")</f>
        <v/>
      </c>
      <c r="J731">
        <f>IF(G731="","",IF(F731="User1",G731,IF(F731="User2",0,IF(I731="Да",G731*'⚙️ Настройки'!B15,G731*0.5))))</f>
        <v/>
      </c>
      <c r="K731">
        <f>IF(G731="","",IF(F731="User2",G731,IF(F731="User1",0,IF(I731="Да",G731*'⚙️ Настройки'!B16,G731*0.5))))</f>
        <v/>
      </c>
    </row>
    <row r="732" ht="15.75" customHeight="1" s="149">
      <c r="A732" s="209" t="n"/>
      <c r="B732" s="190">
        <f>IF(ISNUMBER(A732),YEAR(A732)&amp;"-"&amp;TEXT(MONTH(A732),"00"),"")</f>
        <v/>
      </c>
      <c r="J732">
        <f>IF(G732="","",IF(F732="User1",G732,IF(F732="User2",0,IF(I732="Да",G732*'⚙️ Настройки'!B15,G732*0.5))))</f>
        <v/>
      </c>
      <c r="K732">
        <f>IF(G732="","",IF(F732="User2",G732,IF(F732="User1",0,IF(I732="Да",G732*'⚙️ Настройки'!B16,G732*0.5))))</f>
        <v/>
      </c>
    </row>
    <row r="733" ht="15.75" customHeight="1" s="149">
      <c r="A733" s="209" t="n"/>
      <c r="B733" s="190">
        <f>IF(ISNUMBER(A733),YEAR(A733)&amp;"-"&amp;TEXT(MONTH(A733),"00"),"")</f>
        <v/>
      </c>
      <c r="J733">
        <f>IF(G733="","",IF(F733="User1",G733,IF(F733="User2",0,IF(I733="Да",G733*'⚙️ Настройки'!B15,G733*0.5))))</f>
        <v/>
      </c>
      <c r="K733">
        <f>IF(G733="","",IF(F733="User2",G733,IF(F733="User1",0,IF(I733="Да",G733*'⚙️ Настройки'!B16,G733*0.5))))</f>
        <v/>
      </c>
    </row>
    <row r="734" ht="15.75" customHeight="1" s="149">
      <c r="A734" s="209" t="n"/>
      <c r="B734" s="190">
        <f>IF(ISNUMBER(A734),YEAR(A734)&amp;"-"&amp;TEXT(MONTH(A734),"00"),"")</f>
        <v/>
      </c>
      <c r="J734">
        <f>IF(G734="","",IF(F734="User1",G734,IF(F734="User2",0,IF(I734="Да",G734*'⚙️ Настройки'!B15,G734*0.5))))</f>
        <v/>
      </c>
      <c r="K734">
        <f>IF(G734="","",IF(F734="User2",G734,IF(F734="User1",0,IF(I734="Да",G734*'⚙️ Настройки'!B16,G734*0.5))))</f>
        <v/>
      </c>
    </row>
    <row r="735" ht="15.75" customHeight="1" s="149">
      <c r="A735" s="209" t="n"/>
      <c r="B735" s="190">
        <f>IF(ISNUMBER(A735),YEAR(A735)&amp;"-"&amp;TEXT(MONTH(A735),"00"),"")</f>
        <v/>
      </c>
      <c r="J735">
        <f>IF(G735="","",IF(F735="User1",G735,IF(F735="User2",0,IF(I735="Да",G735*'⚙️ Настройки'!B15,G735*0.5))))</f>
        <v/>
      </c>
      <c r="K735">
        <f>IF(G735="","",IF(F735="User2",G735,IF(F735="User1",0,IF(I735="Да",G735*'⚙️ Настройки'!B16,G735*0.5))))</f>
        <v/>
      </c>
    </row>
    <row r="736" ht="15.75" customHeight="1" s="149">
      <c r="A736" s="209" t="n"/>
      <c r="B736" s="190">
        <f>IF(ISNUMBER(A736),YEAR(A736)&amp;"-"&amp;TEXT(MONTH(A736),"00"),"")</f>
        <v/>
      </c>
      <c r="J736">
        <f>IF(G736="","",IF(F736="User1",G736,IF(F736="User2",0,IF(I736="Да",G736*'⚙️ Настройки'!B15,G736*0.5))))</f>
        <v/>
      </c>
      <c r="K736">
        <f>IF(G736="","",IF(F736="User2",G736,IF(F736="User1",0,IF(I736="Да",G736*'⚙️ Настройки'!B16,G736*0.5))))</f>
        <v/>
      </c>
    </row>
    <row r="737" ht="15.75" customHeight="1" s="149">
      <c r="A737" s="209" t="n"/>
      <c r="B737" s="190">
        <f>IF(ISNUMBER(A737),YEAR(A737)&amp;"-"&amp;TEXT(MONTH(A737),"00"),"")</f>
        <v/>
      </c>
      <c r="J737">
        <f>IF(G737="","",IF(F737="User1",G737,IF(F737="User2",0,IF(I737="Да",G737*'⚙️ Настройки'!B15,G737*0.5))))</f>
        <v/>
      </c>
      <c r="K737">
        <f>IF(G737="","",IF(F737="User2",G737,IF(F737="User1",0,IF(I737="Да",G737*'⚙️ Настройки'!B16,G737*0.5))))</f>
        <v/>
      </c>
    </row>
    <row r="738" ht="15.75" customHeight="1" s="149">
      <c r="A738" s="209" t="n"/>
      <c r="B738" s="190">
        <f>IF(ISNUMBER(A738),YEAR(A738)&amp;"-"&amp;TEXT(MONTH(A738),"00"),"")</f>
        <v/>
      </c>
      <c r="J738">
        <f>IF(G738="","",IF(F738="User1",G738,IF(F738="User2",0,IF(I738="Да",G738*'⚙️ Настройки'!B15,G738*0.5))))</f>
        <v/>
      </c>
      <c r="K738">
        <f>IF(G738="","",IF(F738="User2",G738,IF(F738="User1",0,IF(I738="Да",G738*'⚙️ Настройки'!B16,G738*0.5))))</f>
        <v/>
      </c>
    </row>
    <row r="739" ht="15.75" customHeight="1" s="149">
      <c r="A739" s="209" t="n"/>
      <c r="B739" s="190">
        <f>IF(ISNUMBER(A739),YEAR(A739)&amp;"-"&amp;TEXT(MONTH(A739),"00"),"")</f>
        <v/>
      </c>
      <c r="J739">
        <f>IF(G739="","",IF(F739="User1",G739,IF(F739="User2",0,IF(I739="Да",G739*'⚙️ Настройки'!B15,G739*0.5))))</f>
        <v/>
      </c>
      <c r="K739">
        <f>IF(G739="","",IF(F739="User2",G739,IF(F739="User1",0,IF(I739="Да",G739*'⚙️ Настройки'!B16,G739*0.5))))</f>
        <v/>
      </c>
    </row>
    <row r="740" ht="15.75" customHeight="1" s="149">
      <c r="A740" s="209" t="n"/>
      <c r="B740" s="190">
        <f>IF(ISNUMBER(A740),YEAR(A740)&amp;"-"&amp;TEXT(MONTH(A740),"00"),"")</f>
        <v/>
      </c>
      <c r="J740">
        <f>IF(G740="","",IF(F740="User1",G740,IF(F740="User2",0,IF(I740="Да",G740*'⚙️ Настройки'!B15,G740*0.5))))</f>
        <v/>
      </c>
      <c r="K740">
        <f>IF(G740="","",IF(F740="User2",G740,IF(F740="User1",0,IF(I740="Да",G740*'⚙️ Настройки'!B16,G740*0.5))))</f>
        <v/>
      </c>
    </row>
    <row r="741" ht="15.75" customHeight="1" s="149">
      <c r="A741" s="209" t="n"/>
      <c r="B741" s="190">
        <f>IF(ISNUMBER(A741),YEAR(A741)&amp;"-"&amp;TEXT(MONTH(A741),"00"),"")</f>
        <v/>
      </c>
      <c r="J741">
        <f>IF(G741="","",IF(F741="User1",G741,IF(F741="User2",0,IF(I741="Да",G741*'⚙️ Настройки'!B15,G741*0.5))))</f>
        <v/>
      </c>
      <c r="K741">
        <f>IF(G741="","",IF(F741="User2",G741,IF(F741="User1",0,IF(I741="Да",G741*'⚙️ Настройки'!B16,G741*0.5))))</f>
        <v/>
      </c>
    </row>
    <row r="742" ht="15.75" customHeight="1" s="149">
      <c r="A742" s="209" t="n"/>
      <c r="B742" s="190">
        <f>IF(ISNUMBER(A742),YEAR(A742)&amp;"-"&amp;TEXT(MONTH(A742),"00"),"")</f>
        <v/>
      </c>
      <c r="J742">
        <f>IF(G742="","",IF(F742="User1",G742,IF(F742="User2",0,IF(I742="Да",G742*'⚙️ Настройки'!B15,G742*0.5))))</f>
        <v/>
      </c>
      <c r="K742">
        <f>IF(G742="","",IF(F742="User2",G742,IF(F742="User1",0,IF(I742="Да",G742*'⚙️ Настройки'!B16,G742*0.5))))</f>
        <v/>
      </c>
    </row>
    <row r="743" ht="15.75" customHeight="1" s="149">
      <c r="A743" s="209" t="n"/>
      <c r="B743" s="190">
        <f>IF(ISNUMBER(A743),YEAR(A743)&amp;"-"&amp;TEXT(MONTH(A743),"00"),"")</f>
        <v/>
      </c>
      <c r="J743">
        <f>IF(G743="","",IF(F743="User1",G743,IF(F743="User2",0,IF(I743="Да",G743*'⚙️ Настройки'!B15,G743*0.5))))</f>
        <v/>
      </c>
      <c r="K743">
        <f>IF(G743="","",IF(F743="User2",G743,IF(F743="User1",0,IF(I743="Да",G743*'⚙️ Настройки'!B16,G743*0.5))))</f>
        <v/>
      </c>
    </row>
    <row r="744" ht="15.75" customHeight="1" s="149">
      <c r="A744" s="209" t="n"/>
      <c r="B744" s="190">
        <f>IF(ISNUMBER(A744),YEAR(A744)&amp;"-"&amp;TEXT(MONTH(A744),"00"),"")</f>
        <v/>
      </c>
      <c r="J744">
        <f>IF(G744="","",IF(F744="User1",G744,IF(F744="User2",0,IF(I744="Да",G744*'⚙️ Настройки'!B15,G744*0.5))))</f>
        <v/>
      </c>
      <c r="K744">
        <f>IF(G744="","",IF(F744="User2",G744,IF(F744="User1",0,IF(I744="Да",G744*'⚙️ Настройки'!B16,G744*0.5))))</f>
        <v/>
      </c>
    </row>
    <row r="745" ht="15.75" customHeight="1" s="149">
      <c r="A745" s="209" t="n"/>
      <c r="B745" s="190">
        <f>IF(ISNUMBER(A745),YEAR(A745)&amp;"-"&amp;TEXT(MONTH(A745),"00"),"")</f>
        <v/>
      </c>
      <c r="J745">
        <f>IF(G745="","",IF(F745="User1",G745,IF(F745="User2",0,IF(I745="Да",G745*'⚙️ Настройки'!B15,G745*0.5))))</f>
        <v/>
      </c>
      <c r="K745">
        <f>IF(G745="","",IF(F745="User2",G745,IF(F745="User1",0,IF(I745="Да",G745*'⚙️ Настройки'!B16,G745*0.5))))</f>
        <v/>
      </c>
    </row>
    <row r="746" ht="15.75" customHeight="1" s="149">
      <c r="A746" s="209" t="n"/>
      <c r="B746" s="190">
        <f>IF(ISNUMBER(A746),YEAR(A746)&amp;"-"&amp;TEXT(MONTH(A746),"00"),"")</f>
        <v/>
      </c>
      <c r="J746">
        <f>IF(G746="","",IF(F746="User1",G746,IF(F746="User2",0,IF(I746="Да",G746*'⚙️ Настройки'!B15,G746*0.5))))</f>
        <v/>
      </c>
      <c r="K746">
        <f>IF(G746="","",IF(F746="User2",G746,IF(F746="User1",0,IF(I746="Да",G746*'⚙️ Настройки'!B16,G746*0.5))))</f>
        <v/>
      </c>
    </row>
    <row r="747" ht="15.75" customHeight="1" s="149">
      <c r="A747" s="209" t="n"/>
      <c r="B747" s="190">
        <f>IF(ISNUMBER(A747),YEAR(A747)&amp;"-"&amp;TEXT(MONTH(A747),"00"),"")</f>
        <v/>
      </c>
      <c r="J747">
        <f>IF(G747="","",IF(F747="User1",G747,IF(F747="User2",0,IF(I747="Да",G747*'⚙️ Настройки'!B15,G747*0.5))))</f>
        <v/>
      </c>
      <c r="K747">
        <f>IF(G747="","",IF(F747="User2",G747,IF(F747="User1",0,IF(I747="Да",G747*'⚙️ Настройки'!B16,G747*0.5))))</f>
        <v/>
      </c>
    </row>
    <row r="748" ht="15.75" customHeight="1" s="149">
      <c r="A748" s="209" t="n"/>
      <c r="B748" s="190">
        <f>IF(ISNUMBER(A748),YEAR(A748)&amp;"-"&amp;TEXT(MONTH(A748),"00"),"")</f>
        <v/>
      </c>
      <c r="J748">
        <f>IF(G748="","",IF(F748="User1",G748,IF(F748="User2",0,IF(I748="Да",G748*'⚙️ Настройки'!B15,G748*0.5))))</f>
        <v/>
      </c>
      <c r="K748">
        <f>IF(G748="","",IF(F748="User2",G748,IF(F748="User1",0,IF(I748="Да",G748*'⚙️ Настройки'!B16,G748*0.5))))</f>
        <v/>
      </c>
    </row>
    <row r="749" ht="15.75" customHeight="1" s="149">
      <c r="A749" s="209" t="n"/>
      <c r="B749" s="190">
        <f>IF(ISNUMBER(A749),YEAR(A749)&amp;"-"&amp;TEXT(MONTH(A749),"00"),"")</f>
        <v/>
      </c>
      <c r="J749">
        <f>IF(G749="","",IF(F749="User1",G749,IF(F749="User2",0,IF(I749="Да",G749*'⚙️ Настройки'!B15,G749*0.5))))</f>
        <v/>
      </c>
      <c r="K749">
        <f>IF(G749="","",IF(F749="User2",G749,IF(F749="User1",0,IF(I749="Да",G749*'⚙️ Настройки'!B16,G749*0.5))))</f>
        <v/>
      </c>
    </row>
    <row r="750" ht="15.75" customHeight="1" s="149">
      <c r="A750" s="209" t="n"/>
      <c r="B750" s="190">
        <f>IF(ISNUMBER(A750),YEAR(A750)&amp;"-"&amp;TEXT(MONTH(A750),"00"),"")</f>
        <v/>
      </c>
      <c r="J750">
        <f>IF(G750="","",IF(F750="User1",G750,IF(F750="User2",0,IF(I750="Да",G750*'⚙️ Настройки'!B15,G750*0.5))))</f>
        <v/>
      </c>
      <c r="K750">
        <f>IF(G750="","",IF(F750="User2",G750,IF(F750="User1",0,IF(I750="Да",G750*'⚙️ Настройки'!B16,G750*0.5))))</f>
        <v/>
      </c>
    </row>
    <row r="751" ht="15.75" customHeight="1" s="149">
      <c r="A751" s="209" t="n"/>
      <c r="B751" s="190">
        <f>IF(ISNUMBER(A751),YEAR(A751)&amp;"-"&amp;TEXT(MONTH(A751),"00"),"")</f>
        <v/>
      </c>
      <c r="J751">
        <f>IF(G751="","",IF(F751="User1",G751,IF(F751="User2",0,IF(I751="Да",G751*'⚙️ Настройки'!B15,G751*0.5))))</f>
        <v/>
      </c>
      <c r="K751">
        <f>IF(G751="","",IF(F751="User2",G751,IF(F751="User1",0,IF(I751="Да",G751*'⚙️ Настройки'!B16,G751*0.5))))</f>
        <v/>
      </c>
    </row>
    <row r="752" ht="15.75" customHeight="1" s="149">
      <c r="A752" s="209" t="n"/>
      <c r="B752" s="190">
        <f>IF(ISNUMBER(A752),YEAR(A752)&amp;"-"&amp;TEXT(MONTH(A752),"00"),"")</f>
        <v/>
      </c>
      <c r="J752">
        <f>IF(G752="","",IF(F752="User1",G752,IF(F752="User2",0,IF(I752="Да",G752*'⚙️ Настройки'!B15,G752*0.5))))</f>
        <v/>
      </c>
      <c r="K752">
        <f>IF(G752="","",IF(F752="User2",G752,IF(F752="User1",0,IF(I752="Да",G752*'⚙️ Настройки'!B16,G752*0.5))))</f>
        <v/>
      </c>
    </row>
    <row r="753" ht="15.75" customHeight="1" s="149">
      <c r="A753" s="209" t="n"/>
      <c r="B753" s="190">
        <f>IF(ISNUMBER(A753),YEAR(A753)&amp;"-"&amp;TEXT(MONTH(A753),"00"),"")</f>
        <v/>
      </c>
      <c r="J753">
        <f>IF(G753="","",IF(F753="User1",G753,IF(F753="User2",0,IF(I753="Да",G753*'⚙️ Настройки'!B15,G753*0.5))))</f>
        <v/>
      </c>
      <c r="K753">
        <f>IF(G753="","",IF(F753="User2",G753,IF(F753="User1",0,IF(I753="Да",G753*'⚙️ Настройки'!B16,G753*0.5))))</f>
        <v/>
      </c>
    </row>
    <row r="754" ht="15.75" customHeight="1" s="149">
      <c r="A754" s="209" t="n"/>
      <c r="B754" s="190">
        <f>IF(ISNUMBER(A754),YEAR(A754)&amp;"-"&amp;TEXT(MONTH(A754),"00"),"")</f>
        <v/>
      </c>
      <c r="J754">
        <f>IF(G754="","",IF(F754="User1",G754,IF(F754="User2",0,IF(I754="Да",G754*'⚙️ Настройки'!B15,G754*0.5))))</f>
        <v/>
      </c>
      <c r="K754">
        <f>IF(G754="","",IF(F754="User2",G754,IF(F754="User1",0,IF(I754="Да",G754*'⚙️ Настройки'!B16,G754*0.5))))</f>
        <v/>
      </c>
    </row>
    <row r="755" ht="15.75" customHeight="1" s="149">
      <c r="A755" s="209" t="n"/>
      <c r="B755" s="190">
        <f>IF(ISNUMBER(A755),YEAR(A755)&amp;"-"&amp;TEXT(MONTH(A755),"00"),"")</f>
        <v/>
      </c>
      <c r="J755">
        <f>IF(G755="","",IF(F755="User1",G755,IF(F755="User2",0,IF(I755="Да",G755*'⚙️ Настройки'!B15,G755*0.5))))</f>
        <v/>
      </c>
      <c r="K755">
        <f>IF(G755="","",IF(F755="User2",G755,IF(F755="User1",0,IF(I755="Да",G755*'⚙️ Настройки'!B16,G755*0.5))))</f>
        <v/>
      </c>
    </row>
    <row r="756" ht="15.75" customHeight="1" s="149">
      <c r="A756" s="209" t="n"/>
      <c r="B756" s="190">
        <f>IF(ISNUMBER(A756),YEAR(A756)&amp;"-"&amp;TEXT(MONTH(A756),"00"),"")</f>
        <v/>
      </c>
      <c r="J756">
        <f>IF(G756="","",IF(F756="User1",G756,IF(F756="User2",0,IF(I756="Да",G756*'⚙️ Настройки'!B15,G756*0.5))))</f>
        <v/>
      </c>
      <c r="K756">
        <f>IF(G756="","",IF(F756="User2",G756,IF(F756="User1",0,IF(I756="Да",G756*'⚙️ Настройки'!B16,G756*0.5))))</f>
        <v/>
      </c>
    </row>
    <row r="757" ht="15.75" customHeight="1" s="149">
      <c r="A757" s="209" t="n"/>
      <c r="B757" s="190">
        <f>IF(ISNUMBER(A757),YEAR(A757)&amp;"-"&amp;TEXT(MONTH(A757),"00"),"")</f>
        <v/>
      </c>
      <c r="J757">
        <f>IF(G757="","",IF(F757="User1",G757,IF(F757="User2",0,IF(I757="Да",G757*'⚙️ Настройки'!B15,G757*0.5))))</f>
        <v/>
      </c>
      <c r="K757">
        <f>IF(G757="","",IF(F757="User2",G757,IF(F757="User1",0,IF(I757="Да",G757*'⚙️ Настройки'!B16,G757*0.5))))</f>
        <v/>
      </c>
    </row>
    <row r="758" ht="15.75" customHeight="1" s="149">
      <c r="A758" s="209" t="n"/>
      <c r="B758" s="190">
        <f>IF(ISNUMBER(A758),YEAR(A758)&amp;"-"&amp;TEXT(MONTH(A758),"00"),"")</f>
        <v/>
      </c>
      <c r="J758">
        <f>IF(G758="","",IF(F758="User1",G758,IF(F758="User2",0,IF(I758="Да",G758*'⚙️ Настройки'!B15,G758*0.5))))</f>
        <v/>
      </c>
      <c r="K758">
        <f>IF(G758="","",IF(F758="User2",G758,IF(F758="User1",0,IF(I758="Да",G758*'⚙️ Настройки'!B16,G758*0.5))))</f>
        <v/>
      </c>
    </row>
    <row r="759" ht="15.75" customHeight="1" s="149">
      <c r="A759" s="209" t="n"/>
      <c r="B759" s="190">
        <f>IF(ISNUMBER(A759),YEAR(A759)&amp;"-"&amp;TEXT(MONTH(A759),"00"),"")</f>
        <v/>
      </c>
      <c r="J759">
        <f>IF(G759="","",IF(F759="User1",G759,IF(F759="User2",0,IF(I759="Да",G759*'⚙️ Настройки'!B15,G759*0.5))))</f>
        <v/>
      </c>
      <c r="K759">
        <f>IF(G759="","",IF(F759="User2",G759,IF(F759="User1",0,IF(I759="Да",G759*'⚙️ Настройки'!B16,G759*0.5))))</f>
        <v/>
      </c>
    </row>
    <row r="760" ht="15.75" customHeight="1" s="149">
      <c r="A760" s="209" t="n"/>
      <c r="B760" s="190">
        <f>IF(ISNUMBER(A760),YEAR(A760)&amp;"-"&amp;TEXT(MONTH(A760),"00"),"")</f>
        <v/>
      </c>
      <c r="J760">
        <f>IF(G760="","",IF(F760="User1",G760,IF(F760="User2",0,IF(I760="Да",G760*'⚙️ Настройки'!B15,G760*0.5))))</f>
        <v/>
      </c>
      <c r="K760">
        <f>IF(G760="","",IF(F760="User2",G760,IF(F760="User1",0,IF(I760="Да",G760*'⚙️ Настройки'!B16,G760*0.5))))</f>
        <v/>
      </c>
    </row>
    <row r="761" ht="15.75" customHeight="1" s="149">
      <c r="A761" s="209" t="n"/>
      <c r="B761" s="190">
        <f>IF(ISNUMBER(A761),YEAR(A761)&amp;"-"&amp;TEXT(MONTH(A761),"00"),"")</f>
        <v/>
      </c>
      <c r="J761">
        <f>IF(G761="","",IF(F761="User1",G761,IF(F761="User2",0,IF(I761="Да",G761*'⚙️ Настройки'!B15,G761*0.5))))</f>
        <v/>
      </c>
      <c r="K761">
        <f>IF(G761="","",IF(F761="User2",G761,IF(F761="User1",0,IF(I761="Да",G761*'⚙️ Настройки'!B16,G761*0.5))))</f>
        <v/>
      </c>
    </row>
    <row r="762" ht="15.75" customHeight="1" s="149">
      <c r="A762" s="209" t="n"/>
      <c r="B762" s="190">
        <f>IF(ISNUMBER(A762),YEAR(A762)&amp;"-"&amp;TEXT(MONTH(A762),"00"),"")</f>
        <v/>
      </c>
      <c r="J762">
        <f>IF(G762="","",IF(F762="User1",G762,IF(F762="User2",0,IF(I762="Да",G762*'⚙️ Настройки'!B15,G762*0.5))))</f>
        <v/>
      </c>
      <c r="K762">
        <f>IF(G762="","",IF(F762="User2",G762,IF(F762="User1",0,IF(I762="Да",G762*'⚙️ Настройки'!B16,G762*0.5))))</f>
        <v/>
      </c>
    </row>
    <row r="763" ht="15.75" customHeight="1" s="149">
      <c r="A763" s="209" t="n"/>
      <c r="B763" s="190">
        <f>IF(ISNUMBER(A763),YEAR(A763)&amp;"-"&amp;TEXT(MONTH(A763),"00"),"")</f>
        <v/>
      </c>
      <c r="J763">
        <f>IF(G763="","",IF(F763="User1",G763,IF(F763="User2",0,IF(I763="Да",G763*'⚙️ Настройки'!B15,G763*0.5))))</f>
        <v/>
      </c>
      <c r="K763">
        <f>IF(G763="","",IF(F763="User2",G763,IF(F763="User1",0,IF(I763="Да",G763*'⚙️ Настройки'!B16,G763*0.5))))</f>
        <v/>
      </c>
    </row>
    <row r="764" ht="15.75" customHeight="1" s="149">
      <c r="A764" s="209" t="n"/>
      <c r="B764" s="190">
        <f>IF(ISNUMBER(A764),YEAR(A764)&amp;"-"&amp;TEXT(MONTH(A764),"00"),"")</f>
        <v/>
      </c>
      <c r="J764">
        <f>IF(G764="","",IF(F764="User1",G764,IF(F764="User2",0,IF(I764="Да",G764*'⚙️ Настройки'!B15,G764*0.5))))</f>
        <v/>
      </c>
      <c r="K764">
        <f>IF(G764="","",IF(F764="User2",G764,IF(F764="User1",0,IF(I764="Да",G764*'⚙️ Настройки'!B16,G764*0.5))))</f>
        <v/>
      </c>
    </row>
    <row r="765" ht="15.75" customHeight="1" s="149">
      <c r="A765" s="209" t="n"/>
      <c r="B765" s="190">
        <f>IF(ISNUMBER(A765),YEAR(A765)&amp;"-"&amp;TEXT(MONTH(A765),"00"),"")</f>
        <v/>
      </c>
      <c r="J765">
        <f>IF(G765="","",IF(F765="User1",G765,IF(F765="User2",0,IF(I765="Да",G765*'⚙️ Настройки'!B15,G765*0.5))))</f>
        <v/>
      </c>
      <c r="K765">
        <f>IF(G765="","",IF(F765="User2",G765,IF(F765="User1",0,IF(I765="Да",G765*'⚙️ Настройки'!B16,G765*0.5))))</f>
        <v/>
      </c>
    </row>
    <row r="766" ht="15.75" customHeight="1" s="149">
      <c r="A766" s="209" t="n"/>
      <c r="B766" s="190">
        <f>IF(ISNUMBER(A766),YEAR(A766)&amp;"-"&amp;TEXT(MONTH(A766),"00"),"")</f>
        <v/>
      </c>
      <c r="J766">
        <f>IF(G766="","",IF(F766="User1",G766,IF(F766="User2",0,IF(I766="Да",G766*'⚙️ Настройки'!B15,G766*0.5))))</f>
        <v/>
      </c>
      <c r="K766">
        <f>IF(G766="","",IF(F766="User2",G766,IF(F766="User1",0,IF(I766="Да",G766*'⚙️ Настройки'!B16,G766*0.5))))</f>
        <v/>
      </c>
    </row>
    <row r="767" ht="15.75" customHeight="1" s="149">
      <c r="A767" s="209" t="n"/>
      <c r="B767" s="190">
        <f>IF(ISNUMBER(A767),YEAR(A767)&amp;"-"&amp;TEXT(MONTH(A767),"00"),"")</f>
        <v/>
      </c>
      <c r="J767">
        <f>IF(G767="","",IF(F767="User1",G767,IF(F767="User2",0,IF(I767="Да",G767*'⚙️ Настройки'!B15,G767*0.5))))</f>
        <v/>
      </c>
      <c r="K767">
        <f>IF(G767="","",IF(F767="User2",G767,IF(F767="User1",0,IF(I767="Да",G767*'⚙️ Настройки'!B16,G767*0.5))))</f>
        <v/>
      </c>
    </row>
    <row r="768" ht="15.75" customHeight="1" s="149">
      <c r="A768" s="209" t="n"/>
      <c r="B768" s="190">
        <f>IF(ISNUMBER(A768),YEAR(A768)&amp;"-"&amp;TEXT(MONTH(A768),"00"),"")</f>
        <v/>
      </c>
      <c r="J768">
        <f>IF(G768="","",IF(F768="User1",G768,IF(F768="User2",0,IF(I768="Да",G768*'⚙️ Настройки'!B15,G768*0.5))))</f>
        <v/>
      </c>
      <c r="K768">
        <f>IF(G768="","",IF(F768="User2",G768,IF(F768="User1",0,IF(I768="Да",G768*'⚙️ Настройки'!B16,G768*0.5))))</f>
        <v/>
      </c>
    </row>
    <row r="769" ht="15.75" customHeight="1" s="149">
      <c r="A769" s="209" t="n"/>
      <c r="B769" s="190">
        <f>IF(ISNUMBER(A769),YEAR(A769)&amp;"-"&amp;TEXT(MONTH(A769),"00"),"")</f>
        <v/>
      </c>
      <c r="J769">
        <f>IF(G769="","",IF(F769="User1",G769,IF(F769="User2",0,IF(I769="Да",G769*'⚙️ Настройки'!B15,G769*0.5))))</f>
        <v/>
      </c>
      <c r="K769">
        <f>IF(G769="","",IF(F769="User2",G769,IF(F769="User1",0,IF(I769="Да",G769*'⚙️ Настройки'!B16,G769*0.5))))</f>
        <v/>
      </c>
    </row>
    <row r="770" ht="15.75" customHeight="1" s="149">
      <c r="A770" s="209" t="n"/>
      <c r="B770" s="190">
        <f>IF(ISNUMBER(A770),YEAR(A770)&amp;"-"&amp;TEXT(MONTH(A770),"00"),"")</f>
        <v/>
      </c>
      <c r="J770">
        <f>IF(G770="","",IF(F770="User1",G770,IF(F770="User2",0,IF(I770="Да",G770*'⚙️ Настройки'!B15,G770*0.5))))</f>
        <v/>
      </c>
      <c r="K770">
        <f>IF(G770="","",IF(F770="User2",G770,IF(F770="User1",0,IF(I770="Да",G770*'⚙️ Настройки'!B16,G770*0.5))))</f>
        <v/>
      </c>
    </row>
    <row r="771" ht="15.75" customHeight="1" s="149">
      <c r="A771" s="209" t="n"/>
      <c r="B771" s="190">
        <f>IF(ISNUMBER(A771),YEAR(A771)&amp;"-"&amp;TEXT(MONTH(A771),"00"),"")</f>
        <v/>
      </c>
      <c r="J771">
        <f>IF(G771="","",IF(F771="User1",G771,IF(F771="User2",0,IF(I771="Да",G771*'⚙️ Настройки'!B15,G771*0.5))))</f>
        <v/>
      </c>
      <c r="K771">
        <f>IF(G771="","",IF(F771="User2",G771,IF(F771="User1",0,IF(I771="Да",G771*'⚙️ Настройки'!B16,G771*0.5))))</f>
        <v/>
      </c>
    </row>
    <row r="772" ht="15.75" customHeight="1" s="149">
      <c r="A772" s="209" t="n"/>
      <c r="B772" s="190">
        <f>IF(ISNUMBER(A772),YEAR(A772)&amp;"-"&amp;TEXT(MONTH(A772),"00"),"")</f>
        <v/>
      </c>
      <c r="J772">
        <f>IF(G772="","",IF(F772="User1",G772,IF(F772="User2",0,IF(I772="Да",G772*'⚙️ Настройки'!B15,G772*0.5))))</f>
        <v/>
      </c>
      <c r="K772">
        <f>IF(G772="","",IF(F772="User2",G772,IF(F772="User1",0,IF(I772="Да",G772*'⚙️ Настройки'!B16,G772*0.5))))</f>
        <v/>
      </c>
    </row>
    <row r="773" ht="15.75" customHeight="1" s="149">
      <c r="A773" s="209" t="n"/>
      <c r="B773" s="190">
        <f>IF(ISNUMBER(A773),YEAR(A773)&amp;"-"&amp;TEXT(MONTH(A773),"00"),"")</f>
        <v/>
      </c>
      <c r="J773">
        <f>IF(G773="","",IF(F773="User1",G773,IF(F773="User2",0,IF(I773="Да",G773*'⚙️ Настройки'!B15,G773*0.5))))</f>
        <v/>
      </c>
      <c r="K773">
        <f>IF(G773="","",IF(F773="User2",G773,IF(F773="User1",0,IF(I773="Да",G773*'⚙️ Настройки'!B16,G773*0.5))))</f>
        <v/>
      </c>
    </row>
    <row r="774" ht="15.75" customHeight="1" s="149">
      <c r="A774" s="209" t="n"/>
      <c r="B774" s="190">
        <f>IF(ISNUMBER(A774),YEAR(A774)&amp;"-"&amp;TEXT(MONTH(A774),"00"),"")</f>
        <v/>
      </c>
      <c r="J774">
        <f>IF(G774="","",IF(F774="User1",G774,IF(F774="User2",0,IF(I774="Да",G774*'⚙️ Настройки'!B15,G774*0.5))))</f>
        <v/>
      </c>
      <c r="K774">
        <f>IF(G774="","",IF(F774="User2",G774,IF(F774="User1",0,IF(I774="Да",G774*'⚙️ Настройки'!B16,G774*0.5))))</f>
        <v/>
      </c>
    </row>
    <row r="775" ht="15.75" customHeight="1" s="149">
      <c r="A775" s="209" t="n"/>
      <c r="B775" s="190">
        <f>IF(ISNUMBER(A775),YEAR(A775)&amp;"-"&amp;TEXT(MONTH(A775),"00"),"")</f>
        <v/>
      </c>
      <c r="J775">
        <f>IF(G775="","",IF(F775="User1",G775,IF(F775="User2",0,IF(I775="Да",G775*'⚙️ Настройки'!B15,G775*0.5))))</f>
        <v/>
      </c>
      <c r="K775">
        <f>IF(G775="","",IF(F775="User2",G775,IF(F775="User1",0,IF(I775="Да",G775*'⚙️ Настройки'!B16,G775*0.5))))</f>
        <v/>
      </c>
    </row>
    <row r="776" ht="15.75" customHeight="1" s="149">
      <c r="A776" s="209" t="n"/>
      <c r="B776" s="190">
        <f>IF(ISNUMBER(A776),YEAR(A776)&amp;"-"&amp;TEXT(MONTH(A776),"00"),"")</f>
        <v/>
      </c>
      <c r="J776">
        <f>IF(G776="","",IF(F776="User1",G776,IF(F776="User2",0,IF(I776="Да",G776*'⚙️ Настройки'!B15,G776*0.5))))</f>
        <v/>
      </c>
      <c r="K776">
        <f>IF(G776="","",IF(F776="User2",G776,IF(F776="User1",0,IF(I776="Да",G776*'⚙️ Настройки'!B16,G776*0.5))))</f>
        <v/>
      </c>
    </row>
    <row r="777" ht="15.75" customHeight="1" s="149">
      <c r="A777" s="209" t="n"/>
      <c r="B777" s="190">
        <f>IF(ISNUMBER(A777),YEAR(A777)&amp;"-"&amp;TEXT(MONTH(A777),"00"),"")</f>
        <v/>
      </c>
      <c r="J777">
        <f>IF(G777="","",IF(F777="User1",G777,IF(F777="User2",0,IF(I777="Да",G777*'⚙️ Настройки'!B15,G777*0.5))))</f>
        <v/>
      </c>
      <c r="K777">
        <f>IF(G777="","",IF(F777="User2",G777,IF(F777="User1",0,IF(I777="Да",G777*'⚙️ Настройки'!B16,G777*0.5))))</f>
        <v/>
      </c>
    </row>
    <row r="778" ht="15.75" customHeight="1" s="149">
      <c r="A778" s="209" t="n"/>
      <c r="B778" s="190">
        <f>IF(ISNUMBER(A778),YEAR(A778)&amp;"-"&amp;TEXT(MONTH(A778),"00"),"")</f>
        <v/>
      </c>
      <c r="J778">
        <f>IF(G778="","",IF(F778="User1",G778,IF(F778="User2",0,IF(I778="Да",G778*'⚙️ Настройки'!B15,G778*0.5))))</f>
        <v/>
      </c>
      <c r="K778">
        <f>IF(G778="","",IF(F778="User2",G778,IF(F778="User1",0,IF(I778="Да",G778*'⚙️ Настройки'!B16,G778*0.5))))</f>
        <v/>
      </c>
    </row>
    <row r="779" ht="15.75" customHeight="1" s="149">
      <c r="A779" s="209" t="n"/>
      <c r="B779" s="190">
        <f>IF(ISNUMBER(A779),YEAR(A779)&amp;"-"&amp;TEXT(MONTH(A779),"00"),"")</f>
        <v/>
      </c>
      <c r="J779">
        <f>IF(G779="","",IF(F779="User1",G779,IF(F779="User2",0,IF(I779="Да",G779*'⚙️ Настройки'!B15,G779*0.5))))</f>
        <v/>
      </c>
      <c r="K779">
        <f>IF(G779="","",IF(F779="User2",G779,IF(F779="User1",0,IF(I779="Да",G779*'⚙️ Настройки'!B16,G779*0.5))))</f>
        <v/>
      </c>
    </row>
    <row r="780" ht="15.75" customHeight="1" s="149">
      <c r="A780" s="209" t="n"/>
      <c r="B780" s="190">
        <f>IF(ISNUMBER(A780),YEAR(A780)&amp;"-"&amp;TEXT(MONTH(A780),"00"),"")</f>
        <v/>
      </c>
      <c r="J780">
        <f>IF(G780="","",IF(F780="User1",G780,IF(F780="User2",0,IF(I780="Да",G780*'⚙️ Настройки'!B15,G780*0.5))))</f>
        <v/>
      </c>
      <c r="K780">
        <f>IF(G780="","",IF(F780="User2",G780,IF(F780="User1",0,IF(I780="Да",G780*'⚙️ Настройки'!B16,G780*0.5))))</f>
        <v/>
      </c>
    </row>
    <row r="781" ht="15.75" customHeight="1" s="149">
      <c r="A781" s="209" t="n"/>
      <c r="B781" s="190">
        <f>IF(ISNUMBER(A781),YEAR(A781)&amp;"-"&amp;TEXT(MONTH(A781),"00"),"")</f>
        <v/>
      </c>
      <c r="J781">
        <f>IF(G781="","",IF(F781="User1",G781,IF(F781="User2",0,IF(I781="Да",G781*'⚙️ Настройки'!B15,G781*0.5))))</f>
        <v/>
      </c>
      <c r="K781">
        <f>IF(G781="","",IF(F781="User2",G781,IF(F781="User1",0,IF(I781="Да",G781*'⚙️ Настройки'!B16,G781*0.5))))</f>
        <v/>
      </c>
    </row>
    <row r="782" ht="15.75" customHeight="1" s="149">
      <c r="A782" s="209" t="n"/>
      <c r="B782" s="190">
        <f>IF(ISNUMBER(A782),YEAR(A782)&amp;"-"&amp;TEXT(MONTH(A782),"00"),"")</f>
        <v/>
      </c>
      <c r="J782">
        <f>IF(G782="","",IF(F782="User1",G782,IF(F782="User2",0,IF(I782="Да",G782*'⚙️ Настройки'!B15,G782*0.5))))</f>
        <v/>
      </c>
      <c r="K782">
        <f>IF(G782="","",IF(F782="User2",G782,IF(F782="User1",0,IF(I782="Да",G782*'⚙️ Настройки'!B16,G782*0.5))))</f>
        <v/>
      </c>
    </row>
    <row r="783" ht="15.75" customHeight="1" s="149">
      <c r="A783" s="209" t="n"/>
      <c r="B783" s="190">
        <f>IF(ISNUMBER(A783),YEAR(A783)&amp;"-"&amp;TEXT(MONTH(A783),"00"),"")</f>
        <v/>
      </c>
      <c r="J783">
        <f>IF(G783="","",IF(F783="User1",G783,IF(F783="User2",0,IF(I783="Да",G783*'⚙️ Настройки'!B15,G783*0.5))))</f>
        <v/>
      </c>
      <c r="K783">
        <f>IF(G783="","",IF(F783="User2",G783,IF(F783="User1",0,IF(I783="Да",G783*'⚙️ Настройки'!B16,G783*0.5))))</f>
        <v/>
      </c>
    </row>
    <row r="784" ht="15.75" customHeight="1" s="149">
      <c r="A784" s="209" t="n"/>
      <c r="B784" s="190">
        <f>IF(ISNUMBER(A784),YEAR(A784)&amp;"-"&amp;TEXT(MONTH(A784),"00"),"")</f>
        <v/>
      </c>
      <c r="J784">
        <f>IF(G784="","",IF(F784="User1",G784,IF(F784="User2",0,IF(I784="Да",G784*'⚙️ Настройки'!B15,G784*0.5))))</f>
        <v/>
      </c>
      <c r="K784">
        <f>IF(G784="","",IF(F784="User2",G784,IF(F784="User1",0,IF(I784="Да",G784*'⚙️ Настройки'!B16,G784*0.5))))</f>
        <v/>
      </c>
    </row>
    <row r="785" ht="15.75" customHeight="1" s="149">
      <c r="A785" s="209" t="n"/>
      <c r="B785" s="190">
        <f>IF(ISNUMBER(A785),YEAR(A785)&amp;"-"&amp;TEXT(MONTH(A785),"00"),"")</f>
        <v/>
      </c>
      <c r="J785">
        <f>IF(G785="","",IF(F785="User1",G785,IF(F785="User2",0,IF(I785="Да",G785*'⚙️ Настройки'!B15,G785*0.5))))</f>
        <v/>
      </c>
      <c r="K785">
        <f>IF(G785="","",IF(F785="User2",G785,IF(F785="User1",0,IF(I785="Да",G785*'⚙️ Настройки'!B16,G785*0.5))))</f>
        <v/>
      </c>
    </row>
    <row r="786" ht="15.75" customHeight="1" s="149">
      <c r="A786" s="209" t="n"/>
      <c r="B786" s="190">
        <f>IF(ISNUMBER(A786),YEAR(A786)&amp;"-"&amp;TEXT(MONTH(A786),"00"),"")</f>
        <v/>
      </c>
      <c r="J786">
        <f>IF(G786="","",IF(F786="User1",G786,IF(F786="User2",0,IF(I786="Да",G786*'⚙️ Настройки'!B15,G786*0.5))))</f>
        <v/>
      </c>
      <c r="K786">
        <f>IF(G786="","",IF(F786="User2",G786,IF(F786="User1",0,IF(I786="Да",G786*'⚙️ Настройки'!B16,G786*0.5))))</f>
        <v/>
      </c>
    </row>
    <row r="787" ht="15.75" customHeight="1" s="149">
      <c r="A787" s="209" t="n"/>
      <c r="B787" s="190">
        <f>IF(ISNUMBER(A787),YEAR(A787)&amp;"-"&amp;TEXT(MONTH(A787),"00"),"")</f>
        <v/>
      </c>
      <c r="J787">
        <f>IF(G787="","",IF(F787="User1",G787,IF(F787="User2",0,IF(I787="Да",G787*'⚙️ Настройки'!B15,G787*0.5))))</f>
        <v/>
      </c>
      <c r="K787">
        <f>IF(G787="","",IF(F787="User2",G787,IF(F787="User1",0,IF(I787="Да",G787*'⚙️ Настройки'!B16,G787*0.5))))</f>
        <v/>
      </c>
    </row>
    <row r="788" ht="15.75" customHeight="1" s="149">
      <c r="A788" s="209" t="n"/>
      <c r="B788" s="190">
        <f>IF(ISNUMBER(A788),YEAR(A788)&amp;"-"&amp;TEXT(MONTH(A788),"00"),"")</f>
        <v/>
      </c>
      <c r="J788">
        <f>IF(G788="","",IF(F788="User1",G788,IF(F788="User2",0,IF(I788="Да",G788*'⚙️ Настройки'!B15,G788*0.5))))</f>
        <v/>
      </c>
      <c r="K788">
        <f>IF(G788="","",IF(F788="User2",G788,IF(F788="User1",0,IF(I788="Да",G788*'⚙️ Настройки'!B16,G788*0.5))))</f>
        <v/>
      </c>
    </row>
    <row r="789" ht="15.75" customHeight="1" s="149">
      <c r="A789" s="209" t="n"/>
      <c r="B789" s="190">
        <f>IF(ISNUMBER(A789),YEAR(A789)&amp;"-"&amp;TEXT(MONTH(A789),"00"),"")</f>
        <v/>
      </c>
      <c r="J789">
        <f>IF(G789="","",IF(F789="User1",G789,IF(F789="User2",0,IF(I789="Да",G789*'⚙️ Настройки'!B15,G789*0.5))))</f>
        <v/>
      </c>
      <c r="K789">
        <f>IF(G789="","",IF(F789="User2",G789,IF(F789="User1",0,IF(I789="Да",G789*'⚙️ Настройки'!B16,G789*0.5))))</f>
        <v/>
      </c>
    </row>
    <row r="790" ht="15.75" customHeight="1" s="149">
      <c r="A790" s="209" t="n"/>
      <c r="B790" s="190">
        <f>IF(ISNUMBER(A790),YEAR(A790)&amp;"-"&amp;TEXT(MONTH(A790),"00"),"")</f>
        <v/>
      </c>
      <c r="J790">
        <f>IF(G790="","",IF(F790="User1",G790,IF(F790="User2",0,IF(I790="Да",G790*'⚙️ Настройки'!B15,G790*0.5))))</f>
        <v/>
      </c>
      <c r="K790">
        <f>IF(G790="","",IF(F790="User2",G790,IF(F790="User1",0,IF(I790="Да",G790*'⚙️ Настройки'!B16,G790*0.5))))</f>
        <v/>
      </c>
    </row>
    <row r="791" ht="15.75" customHeight="1" s="149">
      <c r="A791" s="209" t="n"/>
      <c r="B791" s="190">
        <f>IF(ISNUMBER(A791),YEAR(A791)&amp;"-"&amp;TEXT(MONTH(A791),"00"),"")</f>
        <v/>
      </c>
      <c r="J791">
        <f>IF(G791="","",IF(F791="User1",G791,IF(F791="User2",0,IF(I791="Да",G791*'⚙️ Настройки'!B15,G791*0.5))))</f>
        <v/>
      </c>
      <c r="K791">
        <f>IF(G791="","",IF(F791="User2",G791,IF(F791="User1",0,IF(I791="Да",G791*'⚙️ Настройки'!B16,G791*0.5))))</f>
        <v/>
      </c>
    </row>
    <row r="792" ht="15.75" customHeight="1" s="149">
      <c r="A792" s="209" t="n"/>
      <c r="B792" s="190">
        <f>IF(ISNUMBER(A792),YEAR(A792)&amp;"-"&amp;TEXT(MONTH(A792),"00"),"")</f>
        <v/>
      </c>
      <c r="J792">
        <f>IF(G792="","",IF(F792="User1",G792,IF(F792="User2",0,IF(I792="Да",G792*'⚙️ Настройки'!B15,G792*0.5))))</f>
        <v/>
      </c>
      <c r="K792">
        <f>IF(G792="","",IF(F792="User2",G792,IF(F792="User1",0,IF(I792="Да",G792*'⚙️ Настройки'!B16,G792*0.5))))</f>
        <v/>
      </c>
    </row>
    <row r="793" ht="15.75" customHeight="1" s="149">
      <c r="A793" s="209" t="n"/>
      <c r="B793" s="190">
        <f>IF(ISNUMBER(A793),YEAR(A793)&amp;"-"&amp;TEXT(MONTH(A793),"00"),"")</f>
        <v/>
      </c>
      <c r="J793">
        <f>IF(G793="","",IF(F793="User1",G793,IF(F793="User2",0,IF(I793="Да",G793*'⚙️ Настройки'!B15,G793*0.5))))</f>
        <v/>
      </c>
      <c r="K793">
        <f>IF(G793="","",IF(F793="User2",G793,IF(F793="User1",0,IF(I793="Да",G793*'⚙️ Настройки'!B16,G793*0.5))))</f>
        <v/>
      </c>
    </row>
    <row r="794" ht="15.75" customHeight="1" s="149">
      <c r="A794" s="209" t="n"/>
      <c r="B794" s="190">
        <f>IF(ISNUMBER(A794),YEAR(A794)&amp;"-"&amp;TEXT(MONTH(A794),"00"),"")</f>
        <v/>
      </c>
      <c r="J794">
        <f>IF(G794="","",IF(F794="User1",G794,IF(F794="User2",0,IF(I794="Да",G794*'⚙️ Настройки'!B15,G794*0.5))))</f>
        <v/>
      </c>
      <c r="K794">
        <f>IF(G794="","",IF(F794="User2",G794,IF(F794="User1",0,IF(I794="Да",G794*'⚙️ Настройки'!B16,G794*0.5))))</f>
        <v/>
      </c>
    </row>
    <row r="795" ht="15.75" customHeight="1" s="149">
      <c r="A795" s="209" t="n"/>
      <c r="B795" s="190">
        <f>IF(ISNUMBER(A795),YEAR(A795)&amp;"-"&amp;TEXT(MONTH(A795),"00"),"")</f>
        <v/>
      </c>
      <c r="J795">
        <f>IF(G795="","",IF(F795="User1",G795,IF(F795="User2",0,IF(I795="Да",G795*'⚙️ Настройки'!B15,G795*0.5))))</f>
        <v/>
      </c>
      <c r="K795">
        <f>IF(G795="","",IF(F795="User2",G795,IF(F795="User1",0,IF(I795="Да",G795*'⚙️ Настройки'!B16,G795*0.5))))</f>
        <v/>
      </c>
    </row>
    <row r="796" ht="15.75" customHeight="1" s="149">
      <c r="A796" s="209" t="n"/>
      <c r="B796" s="190">
        <f>IF(ISNUMBER(A796),YEAR(A796)&amp;"-"&amp;TEXT(MONTH(A796),"00"),"")</f>
        <v/>
      </c>
      <c r="J796">
        <f>IF(G796="","",IF(F796="User1",G796,IF(F796="User2",0,IF(I796="Да",G796*'⚙️ Настройки'!B15,G796*0.5))))</f>
        <v/>
      </c>
      <c r="K796">
        <f>IF(G796="","",IF(F796="User2",G796,IF(F796="User1",0,IF(I796="Да",G796*'⚙️ Настройки'!B16,G796*0.5))))</f>
        <v/>
      </c>
    </row>
    <row r="797" ht="15.75" customHeight="1" s="149">
      <c r="A797" s="209" t="n"/>
      <c r="B797" s="190">
        <f>IF(ISNUMBER(A797),YEAR(A797)&amp;"-"&amp;TEXT(MONTH(A797),"00"),"")</f>
        <v/>
      </c>
      <c r="J797">
        <f>IF(G797="","",IF(F797="User1",G797,IF(F797="User2",0,IF(I797="Да",G797*'⚙️ Настройки'!B15,G797*0.5))))</f>
        <v/>
      </c>
      <c r="K797">
        <f>IF(G797="","",IF(F797="User2",G797,IF(F797="User1",0,IF(I797="Да",G797*'⚙️ Настройки'!B16,G797*0.5))))</f>
        <v/>
      </c>
    </row>
    <row r="798" ht="15.75" customHeight="1" s="149">
      <c r="A798" s="209" t="n"/>
      <c r="B798" s="190">
        <f>IF(ISNUMBER(A798),YEAR(A798)&amp;"-"&amp;TEXT(MONTH(A798),"00"),"")</f>
        <v/>
      </c>
      <c r="J798">
        <f>IF(G798="","",IF(F798="User1",G798,IF(F798="User2",0,IF(I798="Да",G798*'⚙️ Настройки'!B15,G798*0.5))))</f>
        <v/>
      </c>
      <c r="K798">
        <f>IF(G798="","",IF(F798="User2",G798,IF(F798="User1",0,IF(I798="Да",G798*'⚙️ Настройки'!B16,G798*0.5))))</f>
        <v/>
      </c>
    </row>
    <row r="799" ht="15.75" customHeight="1" s="149">
      <c r="A799" s="209" t="n"/>
      <c r="B799" s="190">
        <f>IF(ISNUMBER(A799),YEAR(A799)&amp;"-"&amp;TEXT(MONTH(A799),"00"),"")</f>
        <v/>
      </c>
      <c r="J799">
        <f>IF(G799="","",IF(F799="User1",G799,IF(F799="User2",0,IF(I799="Да",G799*'⚙️ Настройки'!B15,G799*0.5))))</f>
        <v/>
      </c>
      <c r="K799">
        <f>IF(G799="","",IF(F799="User2",G799,IF(F799="User1",0,IF(I799="Да",G799*'⚙️ Настройки'!B16,G799*0.5))))</f>
        <v/>
      </c>
    </row>
    <row r="800" ht="15.75" customHeight="1" s="149">
      <c r="A800" s="209" t="n"/>
      <c r="B800" s="190">
        <f>IF(ISNUMBER(A800),YEAR(A800)&amp;"-"&amp;TEXT(MONTH(A800),"00"),"")</f>
        <v/>
      </c>
      <c r="J800">
        <f>IF(G800="","",IF(F800="User1",G800,IF(F800="User2",0,IF(I800="Да",G800*'⚙️ Настройки'!B15,G800*0.5))))</f>
        <v/>
      </c>
      <c r="K800">
        <f>IF(G800="","",IF(F800="User2",G800,IF(F800="User1",0,IF(I800="Да",G800*'⚙️ Настройки'!B16,G800*0.5))))</f>
        <v/>
      </c>
    </row>
    <row r="801" ht="15.75" customHeight="1" s="149">
      <c r="A801" s="209" t="n"/>
      <c r="B801" s="190">
        <f>IF(ISNUMBER(A801),YEAR(A801)&amp;"-"&amp;TEXT(MONTH(A801),"00"),"")</f>
        <v/>
      </c>
      <c r="J801">
        <f>IF(G801="","",IF(F801="User1",G801,IF(F801="User2",0,IF(I801="Да",G801*'⚙️ Настройки'!B15,G801*0.5))))</f>
        <v/>
      </c>
      <c r="K801">
        <f>IF(G801="","",IF(F801="User2",G801,IF(F801="User1",0,IF(I801="Да",G801*'⚙️ Настройки'!B16,G801*0.5))))</f>
        <v/>
      </c>
    </row>
    <row r="802" ht="15.75" customHeight="1" s="149">
      <c r="A802" s="209" t="n"/>
      <c r="B802" s="190">
        <f>IF(ISNUMBER(A802),YEAR(A802)&amp;"-"&amp;TEXT(MONTH(A802),"00"),"")</f>
        <v/>
      </c>
      <c r="J802">
        <f>IF(G802="","",IF(F802="User1",G802,IF(F802="User2",0,IF(I802="Да",G802*'⚙️ Настройки'!B15,G802*0.5))))</f>
        <v/>
      </c>
      <c r="K802">
        <f>IF(G802="","",IF(F802="User2",G802,IF(F802="User1",0,IF(I802="Да",G802*'⚙️ Настройки'!B16,G802*0.5))))</f>
        <v/>
      </c>
    </row>
    <row r="803" ht="15.75" customHeight="1" s="149">
      <c r="A803" s="209" t="n"/>
      <c r="B803" s="190">
        <f>IF(ISNUMBER(A803),YEAR(A803)&amp;"-"&amp;TEXT(MONTH(A803),"00"),"")</f>
        <v/>
      </c>
      <c r="J803">
        <f>IF(G803="","",IF(F803="User1",G803,IF(F803="User2",0,IF(I803="Да",G803*'⚙️ Настройки'!B15,G803*0.5))))</f>
        <v/>
      </c>
      <c r="K803">
        <f>IF(G803="","",IF(F803="User2",G803,IF(F803="User1",0,IF(I803="Да",G803*'⚙️ Настройки'!B16,G803*0.5))))</f>
        <v/>
      </c>
    </row>
    <row r="804" ht="15.75" customHeight="1" s="149">
      <c r="A804" s="209" t="n"/>
      <c r="B804" s="190">
        <f>IF(ISNUMBER(A804),YEAR(A804)&amp;"-"&amp;TEXT(MONTH(A804),"00"),"")</f>
        <v/>
      </c>
      <c r="J804">
        <f>IF(G804="","",IF(F804="User1",G804,IF(F804="User2",0,IF(I804="Да",G804*'⚙️ Настройки'!B15,G804*0.5))))</f>
        <v/>
      </c>
      <c r="K804">
        <f>IF(G804="","",IF(F804="User2",G804,IF(F804="User1",0,IF(I804="Да",G804*'⚙️ Настройки'!B16,G804*0.5))))</f>
        <v/>
      </c>
    </row>
    <row r="805" ht="15.75" customHeight="1" s="149">
      <c r="A805" s="209" t="n"/>
      <c r="B805" s="190">
        <f>IF(ISNUMBER(A805),YEAR(A805)&amp;"-"&amp;TEXT(MONTH(A805),"00"),"")</f>
        <v/>
      </c>
      <c r="J805">
        <f>IF(G805="","",IF(F805="User1",G805,IF(F805="User2",0,IF(I805="Да",G805*'⚙️ Настройки'!B15,G805*0.5))))</f>
        <v/>
      </c>
      <c r="K805">
        <f>IF(G805="","",IF(F805="User2",G805,IF(F805="User1",0,IF(I805="Да",G805*'⚙️ Настройки'!B16,G805*0.5))))</f>
        <v/>
      </c>
    </row>
    <row r="806" ht="15.75" customHeight="1" s="149">
      <c r="A806" s="209" t="n"/>
      <c r="B806" s="190">
        <f>IF(ISNUMBER(A806),YEAR(A806)&amp;"-"&amp;TEXT(MONTH(A806),"00"),"")</f>
        <v/>
      </c>
      <c r="J806">
        <f>IF(G806="","",IF(F806="User1",G806,IF(F806="User2",0,IF(I806="Да",G806*'⚙️ Настройки'!B15,G806*0.5))))</f>
        <v/>
      </c>
      <c r="K806">
        <f>IF(G806="","",IF(F806="User2",G806,IF(F806="User1",0,IF(I806="Да",G806*'⚙️ Настройки'!B16,G806*0.5))))</f>
        <v/>
      </c>
    </row>
    <row r="807" ht="15.75" customHeight="1" s="149">
      <c r="A807" s="209" t="n"/>
      <c r="B807" s="190">
        <f>IF(ISNUMBER(A807),YEAR(A807)&amp;"-"&amp;TEXT(MONTH(A807),"00"),"")</f>
        <v/>
      </c>
      <c r="J807">
        <f>IF(G807="","",IF(F807="User1",G807,IF(F807="User2",0,IF(I807="Да",G807*'⚙️ Настройки'!B15,G807*0.5))))</f>
        <v/>
      </c>
      <c r="K807">
        <f>IF(G807="","",IF(F807="User2",G807,IF(F807="User1",0,IF(I807="Да",G807*'⚙️ Настройки'!B16,G807*0.5))))</f>
        <v/>
      </c>
    </row>
    <row r="808" ht="15.75" customHeight="1" s="149">
      <c r="A808" s="209" t="n"/>
      <c r="B808" s="190">
        <f>IF(ISNUMBER(A808),YEAR(A808)&amp;"-"&amp;TEXT(MONTH(A808),"00"),"")</f>
        <v/>
      </c>
      <c r="J808">
        <f>IF(G808="","",IF(F808="User1",G808,IF(F808="User2",0,IF(I808="Да",G808*'⚙️ Настройки'!B15,G808*0.5))))</f>
        <v/>
      </c>
      <c r="K808">
        <f>IF(G808="","",IF(F808="User2",G808,IF(F808="User1",0,IF(I808="Да",G808*'⚙️ Настройки'!B16,G808*0.5))))</f>
        <v/>
      </c>
    </row>
    <row r="809" ht="15.75" customHeight="1" s="149">
      <c r="A809" s="209" t="n"/>
      <c r="B809" s="190">
        <f>IF(ISNUMBER(A809),YEAR(A809)&amp;"-"&amp;TEXT(MONTH(A809),"00"),"")</f>
        <v/>
      </c>
      <c r="J809">
        <f>IF(G809="","",IF(F809="User1",G809,IF(F809="User2",0,IF(I809="Да",G809*'⚙️ Настройки'!B15,G809*0.5))))</f>
        <v/>
      </c>
      <c r="K809">
        <f>IF(G809="","",IF(F809="User2",G809,IF(F809="User1",0,IF(I809="Да",G809*'⚙️ Настройки'!B16,G809*0.5))))</f>
        <v/>
      </c>
    </row>
    <row r="810" ht="15.75" customHeight="1" s="149">
      <c r="A810" s="209" t="n"/>
      <c r="B810" s="190">
        <f>IF(ISNUMBER(A810),YEAR(A810)&amp;"-"&amp;TEXT(MONTH(A810),"00"),"")</f>
        <v/>
      </c>
      <c r="J810">
        <f>IF(G810="","",IF(F810="User1",G810,IF(F810="User2",0,IF(I810="Да",G810*'⚙️ Настройки'!B15,G810*0.5))))</f>
        <v/>
      </c>
      <c r="K810">
        <f>IF(G810="","",IF(F810="User2",G810,IF(F810="User1",0,IF(I810="Да",G810*'⚙️ Настройки'!B16,G810*0.5))))</f>
        <v/>
      </c>
    </row>
    <row r="811" ht="15.75" customHeight="1" s="149">
      <c r="A811" s="209" t="n"/>
      <c r="B811" s="190">
        <f>IF(ISNUMBER(A811),YEAR(A811)&amp;"-"&amp;TEXT(MONTH(A811),"00"),"")</f>
        <v/>
      </c>
      <c r="J811">
        <f>IF(G811="","",IF(F811="User1",G811,IF(F811="User2",0,IF(I811="Да",G811*'⚙️ Настройки'!B15,G811*0.5))))</f>
        <v/>
      </c>
      <c r="K811">
        <f>IF(G811="","",IF(F811="User2",G811,IF(F811="User1",0,IF(I811="Да",G811*'⚙️ Настройки'!B16,G811*0.5))))</f>
        <v/>
      </c>
    </row>
    <row r="812" ht="15.75" customHeight="1" s="149">
      <c r="A812" s="209" t="n"/>
      <c r="B812" s="190">
        <f>IF(ISNUMBER(A812),YEAR(A812)&amp;"-"&amp;TEXT(MONTH(A812),"00"),"")</f>
        <v/>
      </c>
      <c r="J812">
        <f>IF(G812="","",IF(F812="User1",G812,IF(F812="User2",0,IF(I812="Да",G812*'⚙️ Настройки'!B15,G812*0.5))))</f>
        <v/>
      </c>
      <c r="K812">
        <f>IF(G812="","",IF(F812="User2",G812,IF(F812="User1",0,IF(I812="Да",G812*'⚙️ Настройки'!B16,G812*0.5))))</f>
        <v/>
      </c>
    </row>
    <row r="813" ht="15.75" customHeight="1" s="149">
      <c r="A813" s="209" t="n"/>
      <c r="B813" s="190">
        <f>IF(ISNUMBER(A813),YEAR(A813)&amp;"-"&amp;TEXT(MONTH(A813),"00"),"")</f>
        <v/>
      </c>
      <c r="J813">
        <f>IF(G813="","",IF(F813="User1",G813,IF(F813="User2",0,IF(I813="Да",G813*'⚙️ Настройки'!B15,G813*0.5))))</f>
        <v/>
      </c>
      <c r="K813">
        <f>IF(G813="","",IF(F813="User2",G813,IF(F813="User1",0,IF(I813="Да",G813*'⚙️ Настройки'!B16,G813*0.5))))</f>
        <v/>
      </c>
    </row>
    <row r="814" ht="15.75" customHeight="1" s="149">
      <c r="A814" s="209" t="n"/>
      <c r="B814" s="190">
        <f>IF(ISNUMBER(A814),YEAR(A814)&amp;"-"&amp;TEXT(MONTH(A814),"00"),"")</f>
        <v/>
      </c>
      <c r="J814">
        <f>IF(G814="","",IF(F814="User1",G814,IF(F814="User2",0,IF(I814="Да",G814*'⚙️ Настройки'!B15,G814*0.5))))</f>
        <v/>
      </c>
      <c r="K814">
        <f>IF(G814="","",IF(F814="User2",G814,IF(F814="User1",0,IF(I814="Да",G814*'⚙️ Настройки'!B16,G814*0.5))))</f>
        <v/>
      </c>
    </row>
    <row r="815" ht="15.75" customHeight="1" s="149">
      <c r="A815" s="209" t="n"/>
      <c r="B815" s="190">
        <f>IF(ISNUMBER(A815),YEAR(A815)&amp;"-"&amp;TEXT(MONTH(A815),"00"),"")</f>
        <v/>
      </c>
      <c r="J815">
        <f>IF(G815="","",IF(F815="User1",G815,IF(F815="User2",0,IF(I815="Да",G815*'⚙️ Настройки'!B15,G815*0.5))))</f>
        <v/>
      </c>
      <c r="K815">
        <f>IF(G815="","",IF(F815="User2",G815,IF(F815="User1",0,IF(I815="Да",G815*'⚙️ Настройки'!B16,G815*0.5))))</f>
        <v/>
      </c>
    </row>
    <row r="816" ht="15.75" customHeight="1" s="149">
      <c r="A816" s="209" t="n"/>
      <c r="B816" s="190">
        <f>IF(ISNUMBER(A816),YEAR(A816)&amp;"-"&amp;TEXT(MONTH(A816),"00"),"")</f>
        <v/>
      </c>
      <c r="J816">
        <f>IF(G816="","",IF(F816="User1",G816,IF(F816="User2",0,IF(I816="Да",G816*'⚙️ Настройки'!B15,G816*0.5))))</f>
        <v/>
      </c>
      <c r="K816">
        <f>IF(G816="","",IF(F816="User2",G816,IF(F816="User1",0,IF(I816="Да",G816*'⚙️ Настройки'!B16,G816*0.5))))</f>
        <v/>
      </c>
    </row>
    <row r="817" ht="15.75" customHeight="1" s="149">
      <c r="A817" s="209" t="n"/>
      <c r="B817" s="190">
        <f>IF(ISNUMBER(A817),YEAR(A817)&amp;"-"&amp;TEXT(MONTH(A817),"00"),"")</f>
        <v/>
      </c>
      <c r="J817">
        <f>IF(G817="","",IF(F817="User1",G817,IF(F817="User2",0,IF(I817="Да",G817*'⚙️ Настройки'!B15,G817*0.5))))</f>
        <v/>
      </c>
      <c r="K817">
        <f>IF(G817="","",IF(F817="User2",G817,IF(F817="User1",0,IF(I817="Да",G817*'⚙️ Настройки'!B16,G817*0.5))))</f>
        <v/>
      </c>
    </row>
    <row r="818" ht="15.75" customHeight="1" s="149">
      <c r="A818" s="209" t="n"/>
      <c r="B818" s="190">
        <f>IF(ISNUMBER(A818),YEAR(A818)&amp;"-"&amp;TEXT(MONTH(A818),"00"),"")</f>
        <v/>
      </c>
      <c r="J818">
        <f>IF(G818="","",IF(F818="User1",G818,IF(F818="User2",0,IF(I818="Да",G818*'⚙️ Настройки'!B15,G818*0.5))))</f>
        <v/>
      </c>
      <c r="K818">
        <f>IF(G818="","",IF(F818="User2",G818,IF(F818="User1",0,IF(I818="Да",G818*'⚙️ Настройки'!B16,G818*0.5))))</f>
        <v/>
      </c>
    </row>
    <row r="819" ht="15.75" customHeight="1" s="149">
      <c r="A819" s="209" t="n"/>
      <c r="B819" s="190">
        <f>IF(ISNUMBER(A819),YEAR(A819)&amp;"-"&amp;TEXT(MONTH(A819),"00"),"")</f>
        <v/>
      </c>
      <c r="J819">
        <f>IF(G819="","",IF(F819="User1",G819,IF(F819="User2",0,IF(I819="Да",G819*'⚙️ Настройки'!B15,G819*0.5))))</f>
        <v/>
      </c>
      <c r="K819">
        <f>IF(G819="","",IF(F819="User2",G819,IF(F819="User1",0,IF(I819="Да",G819*'⚙️ Настройки'!B16,G819*0.5))))</f>
        <v/>
      </c>
    </row>
    <row r="820" ht="15.75" customHeight="1" s="149">
      <c r="A820" s="209" t="n"/>
      <c r="B820" s="190">
        <f>IF(ISNUMBER(A820),YEAR(A820)&amp;"-"&amp;TEXT(MONTH(A820),"00"),"")</f>
        <v/>
      </c>
      <c r="J820">
        <f>IF(G820="","",IF(F820="User1",G820,IF(F820="User2",0,IF(I820="Да",G820*'⚙️ Настройки'!B15,G820*0.5))))</f>
        <v/>
      </c>
      <c r="K820">
        <f>IF(G820="","",IF(F820="User2",G820,IF(F820="User1",0,IF(I820="Да",G820*'⚙️ Настройки'!B16,G820*0.5))))</f>
        <v/>
      </c>
    </row>
    <row r="821" ht="15.75" customHeight="1" s="149">
      <c r="A821" s="209" t="n"/>
      <c r="B821" s="190">
        <f>IF(ISNUMBER(A821),YEAR(A821)&amp;"-"&amp;TEXT(MONTH(A821),"00"),"")</f>
        <v/>
      </c>
      <c r="J821">
        <f>IF(G821="","",IF(F821="User1",G821,IF(F821="User2",0,IF(I821="Да",G821*'⚙️ Настройки'!B15,G821*0.5))))</f>
        <v/>
      </c>
      <c r="K821">
        <f>IF(G821="","",IF(F821="User2",G821,IF(F821="User1",0,IF(I821="Да",G821*'⚙️ Настройки'!B16,G821*0.5))))</f>
        <v/>
      </c>
    </row>
    <row r="822" ht="15.75" customHeight="1" s="149">
      <c r="A822" s="209" t="n"/>
      <c r="B822" s="190">
        <f>IF(ISNUMBER(A822),YEAR(A822)&amp;"-"&amp;TEXT(MONTH(A822),"00"),"")</f>
        <v/>
      </c>
      <c r="J822">
        <f>IF(G822="","",IF(F822="User1",G822,IF(F822="User2",0,IF(I822="Да",G822*'⚙️ Настройки'!B15,G822*0.5))))</f>
        <v/>
      </c>
      <c r="K822">
        <f>IF(G822="","",IF(F822="User2",G822,IF(F822="User1",0,IF(I822="Да",G822*'⚙️ Настройки'!B16,G822*0.5))))</f>
        <v/>
      </c>
    </row>
    <row r="823" ht="15.75" customHeight="1" s="149">
      <c r="A823" s="209" t="n"/>
      <c r="B823" s="190">
        <f>IF(ISNUMBER(A823),YEAR(A823)&amp;"-"&amp;TEXT(MONTH(A823),"00"),"")</f>
        <v/>
      </c>
      <c r="J823">
        <f>IF(G823="","",IF(F823="User1",G823,IF(F823="User2",0,IF(I823="Да",G823*'⚙️ Настройки'!B15,G823*0.5))))</f>
        <v/>
      </c>
      <c r="K823">
        <f>IF(G823="","",IF(F823="User2",G823,IF(F823="User1",0,IF(I823="Да",G823*'⚙️ Настройки'!B16,G823*0.5))))</f>
        <v/>
      </c>
    </row>
    <row r="824" ht="15.75" customHeight="1" s="149">
      <c r="A824" s="209" t="n"/>
      <c r="B824" s="190">
        <f>IF(ISNUMBER(A824),YEAR(A824)&amp;"-"&amp;TEXT(MONTH(A824),"00"),"")</f>
        <v/>
      </c>
      <c r="J824">
        <f>IF(G824="","",IF(F824="User1",G824,IF(F824="User2",0,IF(I824="Да",G824*'⚙️ Настройки'!B15,G824*0.5))))</f>
        <v/>
      </c>
      <c r="K824">
        <f>IF(G824="","",IF(F824="User2",G824,IF(F824="User1",0,IF(I824="Да",G824*'⚙️ Настройки'!B16,G824*0.5))))</f>
        <v/>
      </c>
    </row>
    <row r="825" ht="15.75" customHeight="1" s="149">
      <c r="A825" s="209" t="n"/>
      <c r="B825" s="190">
        <f>IF(ISNUMBER(A825),YEAR(A825)&amp;"-"&amp;TEXT(MONTH(A825),"00"),"")</f>
        <v/>
      </c>
      <c r="J825">
        <f>IF(G825="","",IF(F825="User1",G825,IF(F825="User2",0,IF(I825="Да",G825*'⚙️ Настройки'!B15,G825*0.5))))</f>
        <v/>
      </c>
      <c r="K825">
        <f>IF(G825="","",IF(F825="User2",G825,IF(F825="User1",0,IF(I825="Да",G825*'⚙️ Настройки'!B16,G825*0.5))))</f>
        <v/>
      </c>
    </row>
    <row r="826" ht="15.75" customHeight="1" s="149">
      <c r="A826" s="209" t="n"/>
      <c r="B826" s="190">
        <f>IF(ISNUMBER(A826),YEAR(A826)&amp;"-"&amp;TEXT(MONTH(A826),"00"),"")</f>
        <v/>
      </c>
      <c r="J826">
        <f>IF(G826="","",IF(F826="User1",G826,IF(F826="User2",0,IF(I826="Да",G826*'⚙️ Настройки'!B15,G826*0.5))))</f>
        <v/>
      </c>
      <c r="K826">
        <f>IF(G826="","",IF(F826="User2",G826,IF(F826="User1",0,IF(I826="Да",G826*'⚙️ Настройки'!B16,G826*0.5))))</f>
        <v/>
      </c>
    </row>
    <row r="827" ht="15.75" customHeight="1" s="149">
      <c r="A827" s="209" t="n"/>
      <c r="B827" s="190">
        <f>IF(ISNUMBER(A827),YEAR(A827)&amp;"-"&amp;TEXT(MONTH(A827),"00"),"")</f>
        <v/>
      </c>
      <c r="J827">
        <f>IF(G827="","",IF(F827="User1",G827,IF(F827="User2",0,IF(I827="Да",G827*'⚙️ Настройки'!B15,G827*0.5))))</f>
        <v/>
      </c>
      <c r="K827">
        <f>IF(G827="","",IF(F827="User2",G827,IF(F827="User1",0,IF(I827="Да",G827*'⚙️ Настройки'!B16,G827*0.5))))</f>
        <v/>
      </c>
    </row>
    <row r="828" ht="15.75" customHeight="1" s="149">
      <c r="A828" s="209" t="n"/>
      <c r="B828" s="190">
        <f>IF(ISNUMBER(A828),YEAR(A828)&amp;"-"&amp;TEXT(MONTH(A828),"00"),"")</f>
        <v/>
      </c>
      <c r="J828">
        <f>IF(G828="","",IF(F828="User1",G828,IF(F828="User2",0,IF(I828="Да",G828*'⚙️ Настройки'!B15,G828*0.5))))</f>
        <v/>
      </c>
      <c r="K828">
        <f>IF(G828="","",IF(F828="User2",G828,IF(F828="User1",0,IF(I828="Да",G828*'⚙️ Настройки'!B16,G828*0.5))))</f>
        <v/>
      </c>
    </row>
    <row r="829" ht="15.75" customHeight="1" s="149">
      <c r="A829" s="209" t="n"/>
      <c r="B829" s="190">
        <f>IF(ISNUMBER(A829),YEAR(A829)&amp;"-"&amp;TEXT(MONTH(A829),"00"),"")</f>
        <v/>
      </c>
      <c r="J829">
        <f>IF(G829="","",IF(F829="User1",G829,IF(F829="User2",0,IF(I829="Да",G829*'⚙️ Настройки'!B15,G829*0.5))))</f>
        <v/>
      </c>
      <c r="K829">
        <f>IF(G829="","",IF(F829="User2",G829,IF(F829="User1",0,IF(I829="Да",G829*'⚙️ Настройки'!B16,G829*0.5))))</f>
        <v/>
      </c>
    </row>
    <row r="830" ht="15.75" customHeight="1" s="149">
      <c r="A830" s="209" t="n"/>
      <c r="B830" s="190">
        <f>IF(ISNUMBER(A830),YEAR(A830)&amp;"-"&amp;TEXT(MONTH(A830),"00"),"")</f>
        <v/>
      </c>
      <c r="J830">
        <f>IF(G830="","",IF(F830="User1",G830,IF(F830="User2",0,IF(I830="Да",G830*'⚙️ Настройки'!B15,G830*0.5))))</f>
        <v/>
      </c>
      <c r="K830">
        <f>IF(G830="","",IF(F830="User2",G830,IF(F830="User1",0,IF(I830="Да",G830*'⚙️ Настройки'!B16,G830*0.5))))</f>
        <v/>
      </c>
    </row>
    <row r="831" ht="15.75" customHeight="1" s="149">
      <c r="A831" s="209" t="n"/>
      <c r="B831" s="190">
        <f>IF(ISNUMBER(A831),YEAR(A831)&amp;"-"&amp;TEXT(MONTH(A831),"00"),"")</f>
        <v/>
      </c>
      <c r="J831">
        <f>IF(G831="","",IF(F831="User1",G831,IF(F831="User2",0,IF(I831="Да",G831*'⚙️ Настройки'!B15,G831*0.5))))</f>
        <v/>
      </c>
      <c r="K831">
        <f>IF(G831="","",IF(F831="User2",G831,IF(F831="User1",0,IF(I831="Да",G831*'⚙️ Настройки'!B16,G831*0.5))))</f>
        <v/>
      </c>
    </row>
    <row r="832" ht="15.75" customHeight="1" s="149">
      <c r="A832" s="209" t="n"/>
      <c r="B832" s="190">
        <f>IF(ISNUMBER(A832),YEAR(A832)&amp;"-"&amp;TEXT(MONTH(A832),"00"),"")</f>
        <v/>
      </c>
      <c r="J832">
        <f>IF(G832="","",IF(F832="User1",G832,IF(F832="User2",0,IF(I832="Да",G832*'⚙️ Настройки'!B15,G832*0.5))))</f>
        <v/>
      </c>
      <c r="K832">
        <f>IF(G832="","",IF(F832="User2",G832,IF(F832="User1",0,IF(I832="Да",G832*'⚙️ Настройки'!B16,G832*0.5))))</f>
        <v/>
      </c>
    </row>
    <row r="833" ht="15.75" customHeight="1" s="149">
      <c r="A833" s="209" t="n"/>
      <c r="B833" s="190">
        <f>IF(ISNUMBER(A833),YEAR(A833)&amp;"-"&amp;TEXT(MONTH(A833),"00"),"")</f>
        <v/>
      </c>
      <c r="J833">
        <f>IF(G833="","",IF(F833="User1",G833,IF(F833="User2",0,IF(I833="Да",G833*'⚙️ Настройки'!B15,G833*0.5))))</f>
        <v/>
      </c>
      <c r="K833">
        <f>IF(G833="","",IF(F833="User2",G833,IF(F833="User1",0,IF(I833="Да",G833*'⚙️ Настройки'!B16,G833*0.5))))</f>
        <v/>
      </c>
    </row>
    <row r="834" ht="15.75" customHeight="1" s="149">
      <c r="A834" s="209" t="n"/>
      <c r="B834" s="190">
        <f>IF(ISNUMBER(A834),YEAR(A834)&amp;"-"&amp;TEXT(MONTH(A834),"00"),"")</f>
        <v/>
      </c>
      <c r="J834">
        <f>IF(G834="","",IF(F834="User1",G834,IF(F834="User2",0,IF(I834="Да",G834*'⚙️ Настройки'!B15,G834*0.5))))</f>
        <v/>
      </c>
      <c r="K834">
        <f>IF(G834="","",IF(F834="User2",G834,IF(F834="User1",0,IF(I834="Да",G834*'⚙️ Настройки'!B16,G834*0.5))))</f>
        <v/>
      </c>
    </row>
    <row r="835" ht="15.75" customHeight="1" s="149">
      <c r="A835" s="209" t="n"/>
      <c r="B835" s="190">
        <f>IF(ISNUMBER(A835),YEAR(A835)&amp;"-"&amp;TEXT(MONTH(A835),"00"),"")</f>
        <v/>
      </c>
      <c r="J835">
        <f>IF(G835="","",IF(F835="User1",G835,IF(F835="User2",0,IF(I835="Да",G835*'⚙️ Настройки'!B15,G835*0.5))))</f>
        <v/>
      </c>
      <c r="K835">
        <f>IF(G835="","",IF(F835="User2",G835,IF(F835="User1",0,IF(I835="Да",G835*'⚙️ Настройки'!B16,G835*0.5))))</f>
        <v/>
      </c>
    </row>
    <row r="836" ht="15.75" customHeight="1" s="149">
      <c r="A836" s="209" t="n"/>
      <c r="B836" s="190">
        <f>IF(ISNUMBER(A836),YEAR(A836)&amp;"-"&amp;TEXT(MONTH(A836),"00"),"")</f>
        <v/>
      </c>
      <c r="J836">
        <f>IF(G836="","",IF(F836="User1",G836,IF(F836="User2",0,IF(I836="Да",G836*'⚙️ Настройки'!B15,G836*0.5))))</f>
        <v/>
      </c>
      <c r="K836">
        <f>IF(G836="","",IF(F836="User2",G836,IF(F836="User1",0,IF(I836="Да",G836*'⚙️ Настройки'!B16,G836*0.5))))</f>
        <v/>
      </c>
    </row>
    <row r="837" ht="15.75" customHeight="1" s="149">
      <c r="A837" s="209" t="n"/>
      <c r="B837" s="190">
        <f>IF(ISNUMBER(A837),YEAR(A837)&amp;"-"&amp;TEXT(MONTH(A837),"00"),"")</f>
        <v/>
      </c>
      <c r="J837">
        <f>IF(G837="","",IF(F837="User1",G837,IF(F837="User2",0,IF(I837="Да",G837*'⚙️ Настройки'!B15,G837*0.5))))</f>
        <v/>
      </c>
      <c r="K837">
        <f>IF(G837="","",IF(F837="User2",G837,IF(F837="User1",0,IF(I837="Да",G837*'⚙️ Настройки'!B16,G837*0.5))))</f>
        <v/>
      </c>
    </row>
    <row r="838" ht="15.75" customHeight="1" s="149">
      <c r="A838" s="209" t="n"/>
      <c r="B838" s="190">
        <f>IF(ISNUMBER(A838),YEAR(A838)&amp;"-"&amp;TEXT(MONTH(A838),"00"),"")</f>
        <v/>
      </c>
      <c r="J838">
        <f>IF(G838="","",IF(F838="User1",G838,IF(F838="User2",0,IF(I838="Да",G838*'⚙️ Настройки'!B15,G838*0.5))))</f>
        <v/>
      </c>
      <c r="K838">
        <f>IF(G838="","",IF(F838="User2",G838,IF(F838="User1",0,IF(I838="Да",G838*'⚙️ Настройки'!B16,G838*0.5))))</f>
        <v/>
      </c>
    </row>
    <row r="839" ht="15.75" customHeight="1" s="149">
      <c r="A839" s="209" t="n"/>
      <c r="B839" s="190">
        <f>IF(ISNUMBER(A839),YEAR(A839)&amp;"-"&amp;TEXT(MONTH(A839),"00"),"")</f>
        <v/>
      </c>
      <c r="J839">
        <f>IF(G839="","",IF(F839="User1",G839,IF(F839="User2",0,IF(I839="Да",G839*'⚙️ Настройки'!B15,G839*0.5))))</f>
        <v/>
      </c>
      <c r="K839">
        <f>IF(G839="","",IF(F839="User2",G839,IF(F839="User1",0,IF(I839="Да",G839*'⚙️ Настройки'!B16,G839*0.5))))</f>
        <v/>
      </c>
    </row>
    <row r="840" ht="15.75" customHeight="1" s="149">
      <c r="A840" s="209" t="n"/>
      <c r="B840" s="190">
        <f>IF(ISNUMBER(A840),YEAR(A840)&amp;"-"&amp;TEXT(MONTH(A840),"00"),"")</f>
        <v/>
      </c>
      <c r="J840">
        <f>IF(G840="","",IF(F840="User1",G840,IF(F840="User2",0,IF(I840="Да",G840*'⚙️ Настройки'!B15,G840*0.5))))</f>
        <v/>
      </c>
      <c r="K840">
        <f>IF(G840="","",IF(F840="User2",G840,IF(F840="User1",0,IF(I840="Да",G840*'⚙️ Настройки'!B16,G840*0.5))))</f>
        <v/>
      </c>
    </row>
    <row r="841" ht="15.75" customHeight="1" s="149">
      <c r="A841" s="209" t="n"/>
      <c r="B841" s="190">
        <f>IF(ISNUMBER(A841),YEAR(A841)&amp;"-"&amp;TEXT(MONTH(A841),"00"),"")</f>
        <v/>
      </c>
      <c r="J841">
        <f>IF(G841="","",IF(F841="User1",G841,IF(F841="User2",0,IF(I841="Да",G841*'⚙️ Настройки'!B15,G841*0.5))))</f>
        <v/>
      </c>
      <c r="K841">
        <f>IF(G841="","",IF(F841="User2",G841,IF(F841="User1",0,IF(I841="Да",G841*'⚙️ Настройки'!B16,G841*0.5))))</f>
        <v/>
      </c>
    </row>
    <row r="842" ht="15.75" customHeight="1" s="149">
      <c r="A842" s="209" t="n"/>
      <c r="B842" s="190">
        <f>IF(ISNUMBER(A842),YEAR(A842)&amp;"-"&amp;TEXT(MONTH(A842),"00"),"")</f>
        <v/>
      </c>
      <c r="J842">
        <f>IF(G842="","",IF(F842="User1",G842,IF(F842="User2",0,IF(I842="Да",G842*'⚙️ Настройки'!B15,G842*0.5))))</f>
        <v/>
      </c>
      <c r="K842">
        <f>IF(G842="","",IF(F842="User2",G842,IF(F842="User1",0,IF(I842="Да",G842*'⚙️ Настройки'!B16,G842*0.5))))</f>
        <v/>
      </c>
    </row>
    <row r="843" ht="15.75" customHeight="1" s="149">
      <c r="A843" s="209" t="n"/>
      <c r="B843" s="190">
        <f>IF(ISNUMBER(A843),YEAR(A843)&amp;"-"&amp;TEXT(MONTH(A843),"00"),"")</f>
        <v/>
      </c>
      <c r="J843">
        <f>IF(G843="","",IF(F843="User1",G843,IF(F843="User2",0,IF(I843="Да",G843*'⚙️ Настройки'!B15,G843*0.5))))</f>
        <v/>
      </c>
      <c r="K843">
        <f>IF(G843="","",IF(F843="User2",G843,IF(F843="User1",0,IF(I843="Да",G843*'⚙️ Настройки'!B16,G843*0.5))))</f>
        <v/>
      </c>
    </row>
    <row r="844" ht="15.75" customHeight="1" s="149">
      <c r="A844" s="209" t="n"/>
      <c r="B844" s="190">
        <f>IF(ISNUMBER(A844),YEAR(A844)&amp;"-"&amp;TEXT(MONTH(A844),"00"),"")</f>
        <v/>
      </c>
      <c r="J844">
        <f>IF(G844="","",IF(F844="User1",G844,IF(F844="User2",0,IF(I844="Да",G844*'⚙️ Настройки'!B15,G844*0.5))))</f>
        <v/>
      </c>
      <c r="K844">
        <f>IF(G844="","",IF(F844="User2",G844,IF(F844="User1",0,IF(I844="Да",G844*'⚙️ Настройки'!B16,G844*0.5))))</f>
        <v/>
      </c>
    </row>
    <row r="845" ht="15.75" customHeight="1" s="149">
      <c r="A845" s="209" t="n"/>
      <c r="B845" s="190">
        <f>IF(ISNUMBER(A845),YEAR(A845)&amp;"-"&amp;TEXT(MONTH(A845),"00"),"")</f>
        <v/>
      </c>
      <c r="J845">
        <f>IF(G845="","",IF(F845="User1",G845,IF(F845="User2",0,IF(I845="Да",G845*'⚙️ Настройки'!B15,G845*0.5))))</f>
        <v/>
      </c>
      <c r="K845">
        <f>IF(G845="","",IF(F845="User2",G845,IF(F845="User1",0,IF(I845="Да",G845*'⚙️ Настройки'!B16,G845*0.5))))</f>
        <v/>
      </c>
    </row>
    <row r="846" ht="15.75" customHeight="1" s="149">
      <c r="A846" s="209" t="n"/>
      <c r="B846" s="190">
        <f>IF(ISNUMBER(A846),YEAR(A846)&amp;"-"&amp;TEXT(MONTH(A846),"00"),"")</f>
        <v/>
      </c>
      <c r="J846">
        <f>IF(G846="","",IF(F846="User1",G846,IF(F846="User2",0,IF(I846="Да",G846*'⚙️ Настройки'!B15,G846*0.5))))</f>
        <v/>
      </c>
      <c r="K846">
        <f>IF(G846="","",IF(F846="User2",G846,IF(F846="User1",0,IF(I846="Да",G846*'⚙️ Настройки'!B16,G846*0.5))))</f>
        <v/>
      </c>
    </row>
    <row r="847" ht="15.75" customHeight="1" s="149">
      <c r="A847" s="209" t="n"/>
      <c r="B847" s="190">
        <f>IF(ISNUMBER(A847),YEAR(A847)&amp;"-"&amp;TEXT(MONTH(A847),"00"),"")</f>
        <v/>
      </c>
      <c r="J847">
        <f>IF(G847="","",IF(F847="User1",G847,IF(F847="User2",0,IF(I847="Да",G847*'⚙️ Настройки'!B15,G847*0.5))))</f>
        <v/>
      </c>
      <c r="K847">
        <f>IF(G847="","",IF(F847="User2",G847,IF(F847="User1",0,IF(I847="Да",G847*'⚙️ Настройки'!B16,G847*0.5))))</f>
        <v/>
      </c>
    </row>
    <row r="848" ht="15.75" customHeight="1" s="149">
      <c r="A848" s="209" t="n"/>
      <c r="B848" s="190">
        <f>IF(ISNUMBER(A848),YEAR(A848)&amp;"-"&amp;TEXT(MONTH(A848),"00"),"")</f>
        <v/>
      </c>
      <c r="J848">
        <f>IF(G848="","",IF(F848="User1",G848,IF(F848="User2",0,IF(I848="Да",G848*'⚙️ Настройки'!B15,G848*0.5))))</f>
        <v/>
      </c>
      <c r="K848">
        <f>IF(G848="","",IF(F848="User2",G848,IF(F848="User1",0,IF(I848="Да",G848*'⚙️ Настройки'!B16,G848*0.5))))</f>
        <v/>
      </c>
    </row>
    <row r="849" ht="15.75" customHeight="1" s="149">
      <c r="A849" s="209" t="n"/>
      <c r="B849" s="190">
        <f>IF(ISNUMBER(A849),YEAR(A849)&amp;"-"&amp;TEXT(MONTH(A849),"00"),"")</f>
        <v/>
      </c>
      <c r="J849">
        <f>IF(G849="","",IF(F849="User1",G849,IF(F849="User2",0,IF(I849="Да",G849*'⚙️ Настройки'!B15,G849*0.5))))</f>
        <v/>
      </c>
      <c r="K849">
        <f>IF(G849="","",IF(F849="User2",G849,IF(F849="User1",0,IF(I849="Да",G849*'⚙️ Настройки'!B16,G849*0.5))))</f>
        <v/>
      </c>
    </row>
    <row r="850" ht="15.75" customHeight="1" s="149">
      <c r="A850" s="209" t="n"/>
      <c r="B850" s="190">
        <f>IF(ISNUMBER(A850),YEAR(A850)&amp;"-"&amp;TEXT(MONTH(A850),"00"),"")</f>
        <v/>
      </c>
      <c r="J850">
        <f>IF(G850="","",IF(F850="User1",G850,IF(F850="User2",0,IF(I850="Да",G850*'⚙️ Настройки'!B15,G850*0.5))))</f>
        <v/>
      </c>
      <c r="K850">
        <f>IF(G850="","",IF(F850="User2",G850,IF(F850="User1",0,IF(I850="Да",G850*'⚙️ Настройки'!B16,G850*0.5))))</f>
        <v/>
      </c>
    </row>
    <row r="851" ht="15.75" customHeight="1" s="149">
      <c r="A851" s="209" t="n"/>
      <c r="B851" s="190">
        <f>IF(ISNUMBER(A851),YEAR(A851)&amp;"-"&amp;TEXT(MONTH(A851),"00"),"")</f>
        <v/>
      </c>
      <c r="J851">
        <f>IF(G851="","",IF(F851="User1",G851,IF(F851="User2",0,IF(I851="Да",G851*'⚙️ Настройки'!B15,G851*0.5))))</f>
        <v/>
      </c>
      <c r="K851">
        <f>IF(G851="","",IF(F851="User2",G851,IF(F851="User1",0,IF(I851="Да",G851*'⚙️ Настройки'!B16,G851*0.5))))</f>
        <v/>
      </c>
    </row>
    <row r="852" ht="15.75" customHeight="1" s="149">
      <c r="A852" s="209" t="n"/>
      <c r="B852" s="190">
        <f>IF(ISNUMBER(A852),YEAR(A852)&amp;"-"&amp;TEXT(MONTH(A852),"00"),"")</f>
        <v/>
      </c>
      <c r="J852">
        <f>IF(G852="","",IF(F852="User1",G852,IF(F852="User2",0,IF(I852="Да",G852*'⚙️ Настройки'!B15,G852*0.5))))</f>
        <v/>
      </c>
      <c r="K852">
        <f>IF(G852="","",IF(F852="User2",G852,IF(F852="User1",0,IF(I852="Да",G852*'⚙️ Настройки'!B16,G852*0.5))))</f>
        <v/>
      </c>
    </row>
    <row r="853" ht="15.75" customHeight="1" s="149">
      <c r="A853" s="209" t="n"/>
      <c r="B853" s="190">
        <f>IF(ISNUMBER(A853),YEAR(A853)&amp;"-"&amp;TEXT(MONTH(A853),"00"),"")</f>
        <v/>
      </c>
      <c r="J853">
        <f>IF(G853="","",IF(F853="User1",G853,IF(F853="User2",0,IF(I853="Да",G853*'⚙️ Настройки'!B15,G853*0.5))))</f>
        <v/>
      </c>
      <c r="K853">
        <f>IF(G853="","",IF(F853="User2",G853,IF(F853="User1",0,IF(I853="Да",G853*'⚙️ Настройки'!B16,G853*0.5))))</f>
        <v/>
      </c>
    </row>
    <row r="854" ht="15.75" customHeight="1" s="149">
      <c r="A854" s="209" t="n"/>
      <c r="B854" s="190">
        <f>IF(ISNUMBER(A854),YEAR(A854)&amp;"-"&amp;TEXT(MONTH(A854),"00"),"")</f>
        <v/>
      </c>
      <c r="J854">
        <f>IF(G854="","",IF(F854="User1",G854,IF(F854="User2",0,IF(I854="Да",G854*'⚙️ Настройки'!B15,G854*0.5))))</f>
        <v/>
      </c>
      <c r="K854">
        <f>IF(G854="","",IF(F854="User2",G854,IF(F854="User1",0,IF(I854="Да",G854*'⚙️ Настройки'!B16,G854*0.5))))</f>
        <v/>
      </c>
    </row>
    <row r="855" ht="15.75" customHeight="1" s="149">
      <c r="A855" s="209" t="n"/>
      <c r="B855" s="190">
        <f>IF(ISNUMBER(A855),YEAR(A855)&amp;"-"&amp;TEXT(MONTH(A855),"00"),"")</f>
        <v/>
      </c>
      <c r="J855">
        <f>IF(G855="","",IF(F855="User1",G855,IF(F855="User2",0,IF(I855="Да",G855*'⚙️ Настройки'!B15,G855*0.5))))</f>
        <v/>
      </c>
      <c r="K855">
        <f>IF(G855="","",IF(F855="User2",G855,IF(F855="User1",0,IF(I855="Да",G855*'⚙️ Настройки'!B16,G855*0.5))))</f>
        <v/>
      </c>
    </row>
    <row r="856" ht="15.75" customHeight="1" s="149">
      <c r="A856" s="209" t="n"/>
      <c r="B856" s="190">
        <f>IF(ISNUMBER(A856),YEAR(A856)&amp;"-"&amp;TEXT(MONTH(A856),"00"),"")</f>
        <v/>
      </c>
      <c r="J856">
        <f>IF(G856="","",IF(F856="User1",G856,IF(F856="User2",0,IF(I856="Да",G856*'⚙️ Настройки'!B15,G856*0.5))))</f>
        <v/>
      </c>
      <c r="K856">
        <f>IF(G856="","",IF(F856="User2",G856,IF(F856="User1",0,IF(I856="Да",G856*'⚙️ Настройки'!B16,G856*0.5))))</f>
        <v/>
      </c>
    </row>
    <row r="857" ht="15.75" customHeight="1" s="149">
      <c r="A857" s="209" t="n"/>
      <c r="B857" s="190">
        <f>IF(ISNUMBER(A857),YEAR(A857)&amp;"-"&amp;TEXT(MONTH(A857),"00"),"")</f>
        <v/>
      </c>
      <c r="J857">
        <f>IF(G857="","",IF(F857="User1",G857,IF(F857="User2",0,IF(I857="Да",G857*'⚙️ Настройки'!B15,G857*0.5))))</f>
        <v/>
      </c>
      <c r="K857">
        <f>IF(G857="","",IF(F857="User2",G857,IF(F857="User1",0,IF(I857="Да",G857*'⚙️ Настройки'!B16,G857*0.5))))</f>
        <v/>
      </c>
    </row>
    <row r="858" ht="15.75" customHeight="1" s="149">
      <c r="A858" s="209" t="n"/>
      <c r="B858" s="190">
        <f>IF(ISNUMBER(A858),YEAR(A858)&amp;"-"&amp;TEXT(MONTH(A858),"00"),"")</f>
        <v/>
      </c>
      <c r="J858">
        <f>IF(G858="","",IF(F858="User1",G858,IF(F858="User2",0,IF(I858="Да",G858*'⚙️ Настройки'!B15,G858*0.5))))</f>
        <v/>
      </c>
      <c r="K858">
        <f>IF(G858="","",IF(F858="User2",G858,IF(F858="User1",0,IF(I858="Да",G858*'⚙️ Настройки'!B16,G858*0.5))))</f>
        <v/>
      </c>
    </row>
    <row r="859" ht="15.75" customHeight="1" s="149">
      <c r="A859" s="209" t="n"/>
      <c r="B859" s="190">
        <f>IF(ISNUMBER(A859),YEAR(A859)&amp;"-"&amp;TEXT(MONTH(A859),"00"),"")</f>
        <v/>
      </c>
      <c r="J859">
        <f>IF(G859="","",IF(F859="User1",G859,IF(F859="User2",0,IF(I859="Да",G859*'⚙️ Настройки'!B15,G859*0.5))))</f>
        <v/>
      </c>
      <c r="K859">
        <f>IF(G859="","",IF(F859="User2",G859,IF(F859="User1",0,IF(I859="Да",G859*'⚙️ Настройки'!B16,G859*0.5))))</f>
        <v/>
      </c>
    </row>
    <row r="860" ht="15.75" customHeight="1" s="149">
      <c r="A860" s="209" t="n"/>
      <c r="B860" s="190">
        <f>IF(ISNUMBER(A860),YEAR(A860)&amp;"-"&amp;TEXT(MONTH(A860),"00"),"")</f>
        <v/>
      </c>
      <c r="J860">
        <f>IF(G860="","",IF(F860="User1",G860,IF(F860="User2",0,IF(I860="Да",G860*'⚙️ Настройки'!B15,G860*0.5))))</f>
        <v/>
      </c>
      <c r="K860">
        <f>IF(G860="","",IF(F860="User2",G860,IF(F860="User1",0,IF(I860="Да",G860*'⚙️ Настройки'!B16,G860*0.5))))</f>
        <v/>
      </c>
    </row>
    <row r="861" ht="15.75" customHeight="1" s="149">
      <c r="A861" s="209" t="n"/>
      <c r="B861" s="190">
        <f>IF(ISNUMBER(A861),YEAR(A861)&amp;"-"&amp;TEXT(MONTH(A861),"00"),"")</f>
        <v/>
      </c>
      <c r="J861">
        <f>IF(G861="","",IF(F861="User1",G861,IF(F861="User2",0,IF(I861="Да",G861*'⚙️ Настройки'!B15,G861*0.5))))</f>
        <v/>
      </c>
      <c r="K861">
        <f>IF(G861="","",IF(F861="User2",G861,IF(F861="User1",0,IF(I861="Да",G861*'⚙️ Настройки'!B16,G861*0.5))))</f>
        <v/>
      </c>
    </row>
    <row r="862" ht="15.75" customHeight="1" s="149">
      <c r="A862" s="209" t="n"/>
      <c r="B862" s="190">
        <f>IF(ISNUMBER(A862),YEAR(A862)&amp;"-"&amp;TEXT(MONTH(A862),"00"),"")</f>
        <v/>
      </c>
      <c r="J862">
        <f>IF(G862="","",IF(F862="User1",G862,IF(F862="User2",0,IF(I862="Да",G862*'⚙️ Настройки'!B15,G862*0.5))))</f>
        <v/>
      </c>
      <c r="K862">
        <f>IF(G862="","",IF(F862="User2",G862,IF(F862="User1",0,IF(I862="Да",G862*'⚙️ Настройки'!B16,G862*0.5))))</f>
        <v/>
      </c>
    </row>
    <row r="863" ht="15.75" customHeight="1" s="149">
      <c r="A863" s="209" t="n"/>
      <c r="B863" s="190">
        <f>IF(ISNUMBER(A863),YEAR(A863)&amp;"-"&amp;TEXT(MONTH(A863),"00"),"")</f>
        <v/>
      </c>
      <c r="J863">
        <f>IF(G863="","",IF(F863="User1",G863,IF(F863="User2",0,IF(I863="Да",G863*'⚙️ Настройки'!B15,G863*0.5))))</f>
        <v/>
      </c>
      <c r="K863">
        <f>IF(G863="","",IF(F863="User2",G863,IF(F863="User1",0,IF(I863="Да",G863*'⚙️ Настройки'!B16,G863*0.5))))</f>
        <v/>
      </c>
    </row>
    <row r="864" ht="15.75" customHeight="1" s="149">
      <c r="A864" s="209" t="n"/>
      <c r="B864" s="190">
        <f>IF(ISNUMBER(A864),YEAR(A864)&amp;"-"&amp;TEXT(MONTH(A864),"00"),"")</f>
        <v/>
      </c>
      <c r="J864">
        <f>IF(G864="","",IF(F864="User1",G864,IF(F864="User2",0,IF(I864="Да",G864*'⚙️ Настройки'!B15,G864*0.5))))</f>
        <v/>
      </c>
      <c r="K864">
        <f>IF(G864="","",IF(F864="User2",G864,IF(F864="User1",0,IF(I864="Да",G864*'⚙️ Настройки'!B16,G864*0.5))))</f>
        <v/>
      </c>
    </row>
    <row r="865" ht="15.75" customHeight="1" s="149">
      <c r="A865" s="209" t="n"/>
      <c r="B865" s="190">
        <f>IF(ISNUMBER(A865),YEAR(A865)&amp;"-"&amp;TEXT(MONTH(A865),"00"),"")</f>
        <v/>
      </c>
      <c r="J865">
        <f>IF(G865="","",IF(F865="User1",G865,IF(F865="User2",0,IF(I865="Да",G865*'⚙️ Настройки'!B15,G865*0.5))))</f>
        <v/>
      </c>
      <c r="K865">
        <f>IF(G865="","",IF(F865="User2",G865,IF(F865="User1",0,IF(I865="Да",G865*'⚙️ Настройки'!B16,G865*0.5))))</f>
        <v/>
      </c>
    </row>
    <row r="866" ht="15.75" customHeight="1" s="149">
      <c r="A866" s="209" t="n"/>
      <c r="B866" s="190">
        <f>IF(ISNUMBER(A866),YEAR(A866)&amp;"-"&amp;TEXT(MONTH(A866),"00"),"")</f>
        <v/>
      </c>
      <c r="J866">
        <f>IF(G866="","",IF(F866="User1",G866,IF(F866="User2",0,IF(I866="Да",G866*'⚙️ Настройки'!B15,G866*0.5))))</f>
        <v/>
      </c>
      <c r="K866">
        <f>IF(G866="","",IF(F866="User2",G866,IF(F866="User1",0,IF(I866="Да",G866*'⚙️ Настройки'!B16,G866*0.5))))</f>
        <v/>
      </c>
    </row>
    <row r="867" ht="15.75" customHeight="1" s="149">
      <c r="A867" s="209" t="n"/>
      <c r="B867" s="190">
        <f>IF(ISNUMBER(A867),YEAR(A867)&amp;"-"&amp;TEXT(MONTH(A867),"00"),"")</f>
        <v/>
      </c>
      <c r="J867">
        <f>IF(G867="","",IF(F867="User1",G867,IF(F867="User2",0,IF(I867="Да",G867*'⚙️ Настройки'!B15,G867*0.5))))</f>
        <v/>
      </c>
      <c r="K867">
        <f>IF(G867="","",IF(F867="User2",G867,IF(F867="User1",0,IF(I867="Да",G867*'⚙️ Настройки'!B16,G867*0.5))))</f>
        <v/>
      </c>
    </row>
    <row r="868" ht="15.75" customHeight="1" s="149">
      <c r="A868" s="209" t="n"/>
      <c r="B868" s="190">
        <f>IF(ISNUMBER(A868),YEAR(A868)&amp;"-"&amp;TEXT(MONTH(A868),"00"),"")</f>
        <v/>
      </c>
      <c r="J868">
        <f>IF(G868="","",IF(F868="User1",G868,IF(F868="User2",0,IF(I868="Да",G868*'⚙️ Настройки'!B15,G868*0.5))))</f>
        <v/>
      </c>
      <c r="K868">
        <f>IF(G868="","",IF(F868="User2",G868,IF(F868="User1",0,IF(I868="Да",G868*'⚙️ Настройки'!B16,G868*0.5))))</f>
        <v/>
      </c>
    </row>
    <row r="869" ht="15.75" customHeight="1" s="149">
      <c r="A869" s="209" t="n"/>
      <c r="B869" s="190">
        <f>IF(ISNUMBER(A869),YEAR(A869)&amp;"-"&amp;TEXT(MONTH(A869),"00"),"")</f>
        <v/>
      </c>
      <c r="J869">
        <f>IF(G869="","",IF(F869="User1",G869,IF(F869="User2",0,IF(I869="Да",G869*'⚙️ Настройки'!B15,G869*0.5))))</f>
        <v/>
      </c>
      <c r="K869">
        <f>IF(G869="","",IF(F869="User2",G869,IF(F869="User1",0,IF(I869="Да",G869*'⚙️ Настройки'!B16,G869*0.5))))</f>
        <v/>
      </c>
    </row>
    <row r="870" ht="15.75" customHeight="1" s="149">
      <c r="A870" s="209" t="n"/>
      <c r="B870" s="190">
        <f>IF(ISNUMBER(A870),YEAR(A870)&amp;"-"&amp;TEXT(MONTH(A870),"00"),"")</f>
        <v/>
      </c>
      <c r="J870">
        <f>IF(G870="","",IF(F870="User1",G870,IF(F870="User2",0,IF(I870="Да",G870*'⚙️ Настройки'!B15,G870*0.5))))</f>
        <v/>
      </c>
      <c r="K870">
        <f>IF(G870="","",IF(F870="User2",G870,IF(F870="User1",0,IF(I870="Да",G870*'⚙️ Настройки'!B16,G870*0.5))))</f>
        <v/>
      </c>
    </row>
    <row r="871" ht="15.75" customHeight="1" s="149">
      <c r="A871" s="209" t="n"/>
      <c r="B871" s="190">
        <f>IF(ISNUMBER(A871),YEAR(A871)&amp;"-"&amp;TEXT(MONTH(A871),"00"),"")</f>
        <v/>
      </c>
      <c r="J871">
        <f>IF(G871="","",IF(F871="User1",G871,IF(F871="User2",0,IF(I871="Да",G871*'⚙️ Настройки'!B15,G871*0.5))))</f>
        <v/>
      </c>
      <c r="K871">
        <f>IF(G871="","",IF(F871="User2",G871,IF(F871="User1",0,IF(I871="Да",G871*'⚙️ Настройки'!B16,G871*0.5))))</f>
        <v/>
      </c>
    </row>
    <row r="872" ht="15.75" customHeight="1" s="149">
      <c r="A872" s="209" t="n"/>
      <c r="B872" s="190">
        <f>IF(ISNUMBER(A872),YEAR(A872)&amp;"-"&amp;TEXT(MONTH(A872),"00"),"")</f>
        <v/>
      </c>
      <c r="J872">
        <f>IF(G872="","",IF(F872="User1",G872,IF(F872="User2",0,IF(I872="Да",G872*'⚙️ Настройки'!B15,G872*0.5))))</f>
        <v/>
      </c>
      <c r="K872">
        <f>IF(G872="","",IF(F872="User2",G872,IF(F872="User1",0,IF(I872="Да",G872*'⚙️ Настройки'!B16,G872*0.5))))</f>
        <v/>
      </c>
    </row>
    <row r="873" ht="15.75" customHeight="1" s="149">
      <c r="A873" s="209" t="n"/>
      <c r="J873">
        <f>IF(G873="","",IF(F873="User1",G873,IF(F873="User2",0,IF(I873="Да",G873*'⚙️ Настройки'!B15,G873*0.5))))</f>
        <v/>
      </c>
      <c r="K873">
        <f>IF(G873="","",IF(F873="User2",G873,IF(F873="User1",0,IF(I873="Да",G873*'⚙️ Настройки'!B16,G873*0.5))))</f>
        <v/>
      </c>
    </row>
    <row r="874" ht="15.75" customHeight="1" s="149">
      <c r="A874" s="209" t="n"/>
      <c r="J874">
        <f>IF(G874="","",IF(F874="User1",G874,IF(F874="User2",0,IF(I874="Да",G874*'⚙️ Настройки'!B15,G874*0.5))))</f>
        <v/>
      </c>
      <c r="K874">
        <f>IF(G874="","",IF(F874="User2",G874,IF(F874="User1",0,IF(I874="Да",G874*'⚙️ Настройки'!B16,G874*0.5))))</f>
        <v/>
      </c>
    </row>
    <row r="875" ht="15.75" customHeight="1" s="149">
      <c r="A875" s="209" t="n"/>
      <c r="J875">
        <f>IF(G875="","",IF(F875="User1",G875,IF(F875="User2",0,IF(I875="Да",G875*'⚙️ Настройки'!B15,G875*0.5))))</f>
        <v/>
      </c>
      <c r="K875">
        <f>IF(G875="","",IF(F875="User2",G875,IF(F875="User1",0,IF(I875="Да",G875*'⚙️ Настройки'!B16,G875*0.5))))</f>
        <v/>
      </c>
    </row>
    <row r="876" ht="15.75" customHeight="1" s="149">
      <c r="A876" s="209" t="n"/>
      <c r="J876">
        <f>IF(G876="","",IF(F876="User1",G876,IF(F876="User2",0,IF(I876="Да",G876*'⚙️ Настройки'!B15,G876*0.5))))</f>
        <v/>
      </c>
      <c r="K876">
        <f>IF(G876="","",IF(F876="User2",G876,IF(F876="User1",0,IF(I876="Да",G876*'⚙️ Настройки'!B16,G876*0.5))))</f>
        <v/>
      </c>
    </row>
    <row r="877" ht="15.75" customHeight="1" s="149">
      <c r="A877" s="209" t="n"/>
      <c r="J877">
        <f>IF(G877="","",IF(F877="User1",G877,IF(F877="User2",0,IF(I877="Да",G877*'⚙️ Настройки'!B15,G877*0.5))))</f>
        <v/>
      </c>
      <c r="K877">
        <f>IF(G877="","",IF(F877="User2",G877,IF(F877="User1",0,IF(I877="Да",G877*'⚙️ Настройки'!B16,G877*0.5))))</f>
        <v/>
      </c>
    </row>
    <row r="878" ht="15.75" customHeight="1" s="149">
      <c r="A878" s="209" t="n"/>
      <c r="J878">
        <f>IF(G878="","",IF(F878="User1",G878,IF(F878="User2",0,IF(I878="Да",G878*'⚙️ Настройки'!B15,G878*0.5))))</f>
        <v/>
      </c>
      <c r="K878">
        <f>IF(G878="","",IF(F878="User2",G878,IF(F878="User1",0,IF(I878="Да",G878*'⚙️ Настройки'!B16,G878*0.5))))</f>
        <v/>
      </c>
    </row>
    <row r="879" ht="15.75" customHeight="1" s="149">
      <c r="A879" s="209" t="n"/>
      <c r="J879">
        <f>IF(G879="","",IF(F879="User1",G879,IF(F879="User2",0,IF(I879="Да",G879*'⚙️ Настройки'!B15,G879*0.5))))</f>
        <v/>
      </c>
      <c r="K879">
        <f>IF(G879="","",IF(F879="User2",G879,IF(F879="User1",0,IF(I879="Да",G879*'⚙️ Настройки'!B16,G879*0.5))))</f>
        <v/>
      </c>
    </row>
    <row r="880" ht="15.75" customHeight="1" s="149">
      <c r="A880" s="209" t="n"/>
      <c r="J880">
        <f>IF(G880="","",IF(F880="User1",G880,IF(F880="User2",0,IF(I880="Да",G880*'⚙️ Настройки'!B15,G880*0.5))))</f>
        <v/>
      </c>
      <c r="K880">
        <f>IF(G880="","",IF(F880="User2",G880,IF(F880="User1",0,IF(I880="Да",G880*'⚙️ Настройки'!B16,G880*0.5))))</f>
        <v/>
      </c>
    </row>
    <row r="881" ht="15.75" customHeight="1" s="149">
      <c r="A881" s="209" t="n"/>
      <c r="J881">
        <f>IF(G881="","",IF(F881="User1",G881,IF(F881="User2",0,IF(I881="Да",G881*'⚙️ Настройки'!B15,G881*0.5))))</f>
        <v/>
      </c>
      <c r="K881">
        <f>IF(G881="","",IF(F881="User2",G881,IF(F881="User1",0,IF(I881="Да",G881*'⚙️ Настройки'!B16,G881*0.5))))</f>
        <v/>
      </c>
    </row>
    <row r="882" ht="15.75" customHeight="1" s="149">
      <c r="A882" s="209" t="n"/>
      <c r="J882">
        <f>IF(G882="","",IF(F882="User1",G882,IF(F882="User2",0,IF(I882="Да",G882*'⚙️ Настройки'!B15,G882*0.5))))</f>
        <v/>
      </c>
      <c r="K882">
        <f>IF(G882="","",IF(F882="User2",G882,IF(F882="User1",0,IF(I882="Да",G882*'⚙️ Настройки'!B16,G882*0.5))))</f>
        <v/>
      </c>
    </row>
    <row r="883" ht="15.75" customHeight="1" s="149">
      <c r="A883" s="209" t="n"/>
      <c r="J883">
        <f>IF(G883="","",IF(F883="User1",G883,IF(F883="User2",0,IF(I883="Да",G883*'⚙️ Настройки'!B15,G883*0.5))))</f>
        <v/>
      </c>
      <c r="K883">
        <f>IF(G883="","",IF(F883="User2",G883,IF(F883="User1",0,IF(I883="Да",G883*'⚙️ Настройки'!B16,G883*0.5))))</f>
        <v/>
      </c>
    </row>
    <row r="884" ht="15.75" customHeight="1" s="149">
      <c r="A884" s="209" t="n"/>
      <c r="J884">
        <f>IF(G884="","",IF(F884="User1",G884,IF(F884="User2",0,IF(I884="Да",G884*'⚙️ Настройки'!B15,G884*0.5))))</f>
        <v/>
      </c>
      <c r="K884">
        <f>IF(G884="","",IF(F884="User2",G884,IF(F884="User1",0,IF(I884="Да",G884*'⚙️ Настройки'!B16,G884*0.5))))</f>
        <v/>
      </c>
    </row>
    <row r="885" ht="15.75" customHeight="1" s="149">
      <c r="A885" s="209" t="n"/>
      <c r="J885">
        <f>IF(G885="","",IF(F885="User1",G885,IF(F885="User2",0,IF(I885="Да",G885*'⚙️ Настройки'!B15,G885*0.5))))</f>
        <v/>
      </c>
      <c r="K885">
        <f>IF(G885="","",IF(F885="User2",G885,IF(F885="User1",0,IF(I885="Да",G885*'⚙️ Настройки'!B16,G885*0.5))))</f>
        <v/>
      </c>
    </row>
    <row r="886" ht="15.75" customHeight="1" s="149">
      <c r="A886" s="209" t="n"/>
      <c r="J886">
        <f>IF(G886="","",IF(F886="User1",G886,IF(F886="User2",0,IF(I886="Да",G886*'⚙️ Настройки'!B15,G886*0.5))))</f>
        <v/>
      </c>
      <c r="K886">
        <f>IF(G886="","",IF(F886="User2",G886,IF(F886="User1",0,IF(I886="Да",G886*'⚙️ Настройки'!B16,G886*0.5))))</f>
        <v/>
      </c>
    </row>
    <row r="887" ht="15.75" customHeight="1" s="149">
      <c r="A887" s="209" t="n"/>
      <c r="J887">
        <f>IF(G887="","",IF(F887="User1",G887,IF(F887="User2",0,IF(I887="Да",G887*'⚙️ Настройки'!B15,G887*0.5))))</f>
        <v/>
      </c>
      <c r="K887">
        <f>IF(G887="","",IF(F887="User2",G887,IF(F887="User1",0,IF(I887="Да",G887*'⚙️ Настройки'!B16,G887*0.5))))</f>
        <v/>
      </c>
    </row>
    <row r="888" ht="15.75" customHeight="1" s="149">
      <c r="A888" s="209" t="n"/>
      <c r="J888">
        <f>IF(G888="","",IF(F888="User1",G888,IF(F888="User2",0,IF(I888="Да",G888*'⚙️ Настройки'!B15,G888*0.5))))</f>
        <v/>
      </c>
      <c r="K888">
        <f>IF(G888="","",IF(F888="User2",G888,IF(F888="User1",0,IF(I888="Да",G888*'⚙️ Настройки'!B16,G888*0.5))))</f>
        <v/>
      </c>
    </row>
    <row r="889" ht="15.75" customHeight="1" s="149">
      <c r="A889" s="209" t="n"/>
      <c r="J889">
        <f>IF(G889="","",IF(F889="User1",G889,IF(F889="User2",0,IF(I889="Да",G889*'⚙️ Настройки'!B15,G889*0.5))))</f>
        <v/>
      </c>
      <c r="K889">
        <f>IF(G889="","",IF(F889="User2",G889,IF(F889="User1",0,IF(I889="Да",G889*'⚙️ Настройки'!B16,G889*0.5))))</f>
        <v/>
      </c>
    </row>
    <row r="890" ht="15.75" customHeight="1" s="149">
      <c r="A890" s="209" t="n"/>
      <c r="J890">
        <f>IF(G890="","",IF(F890="User1",G890,IF(F890="User2",0,IF(I890="Да",G890*'⚙️ Настройки'!B15,G890*0.5))))</f>
        <v/>
      </c>
      <c r="K890">
        <f>IF(G890="","",IF(F890="User2",G890,IF(F890="User1",0,IF(I890="Да",G890*'⚙️ Настройки'!B16,G890*0.5))))</f>
        <v/>
      </c>
    </row>
    <row r="891" ht="15.75" customHeight="1" s="149">
      <c r="A891" s="209" t="n"/>
      <c r="J891">
        <f>IF(G891="","",IF(F891="User1",G891,IF(F891="User2",0,IF(I891="Да",G891*'⚙️ Настройки'!B15,G891*0.5))))</f>
        <v/>
      </c>
      <c r="K891">
        <f>IF(G891="","",IF(F891="User2",G891,IF(F891="User1",0,IF(I891="Да",G891*'⚙️ Настройки'!B16,G891*0.5))))</f>
        <v/>
      </c>
    </row>
    <row r="892" ht="15.75" customHeight="1" s="149">
      <c r="A892" s="209" t="n"/>
      <c r="J892">
        <f>IF(G892="","",IF(F892="User1",G892,IF(F892="User2",0,IF(I892="Да",G892*'⚙️ Настройки'!B15,G892*0.5))))</f>
        <v/>
      </c>
      <c r="K892">
        <f>IF(G892="","",IF(F892="User2",G892,IF(F892="User1",0,IF(I892="Да",G892*'⚙️ Настройки'!B16,G892*0.5))))</f>
        <v/>
      </c>
    </row>
    <row r="893" ht="15.75" customHeight="1" s="149">
      <c r="A893" s="209" t="n"/>
      <c r="J893">
        <f>IF(G893="","",IF(F893="User1",G893,IF(F893="User2",0,IF(I893="Да",G893*'⚙️ Настройки'!B15,G893*0.5))))</f>
        <v/>
      </c>
      <c r="K893">
        <f>IF(G893="","",IF(F893="User2",G893,IF(F893="User1",0,IF(I893="Да",G893*'⚙️ Настройки'!B16,G893*0.5))))</f>
        <v/>
      </c>
    </row>
    <row r="894" ht="15.75" customHeight="1" s="149">
      <c r="A894" s="209" t="n"/>
      <c r="J894">
        <f>IF(G894="","",IF(F894="User1",G894,IF(F894="User2",0,IF(I894="Да",G894*'⚙️ Настройки'!B15,G894*0.5))))</f>
        <v/>
      </c>
      <c r="K894">
        <f>IF(G894="","",IF(F894="User2",G894,IF(F894="User1",0,IF(I894="Да",G894*'⚙️ Настройки'!B16,G894*0.5))))</f>
        <v/>
      </c>
    </row>
    <row r="895" ht="15.75" customHeight="1" s="149">
      <c r="A895" s="209" t="n"/>
      <c r="J895">
        <f>IF(G895="","",IF(F895="User1",G895,IF(F895="User2",0,IF(I895="Да",G895*'⚙️ Настройки'!B15,G895*0.5))))</f>
        <v/>
      </c>
      <c r="K895">
        <f>IF(G895="","",IF(F895="User2",G895,IF(F895="User1",0,IF(I895="Да",G895*'⚙️ Настройки'!B16,G895*0.5))))</f>
        <v/>
      </c>
    </row>
    <row r="896" ht="15.75" customHeight="1" s="149">
      <c r="A896" s="209" t="n"/>
      <c r="J896">
        <f>IF(G896="","",IF(F896="User1",G896,IF(F896="User2",0,IF(I896="Да",G896*'⚙️ Настройки'!B15,G896*0.5))))</f>
        <v/>
      </c>
      <c r="K896">
        <f>IF(G896="","",IF(F896="User2",G896,IF(F896="User1",0,IF(I896="Да",G896*'⚙️ Настройки'!B16,G896*0.5))))</f>
        <v/>
      </c>
    </row>
    <row r="897" ht="15.75" customHeight="1" s="149">
      <c r="A897" s="209" t="n"/>
      <c r="J897">
        <f>IF(G897="","",IF(F897="User1",G897,IF(F897="User2",0,IF(I897="Да",G897*'⚙️ Настройки'!B15,G897*0.5))))</f>
        <v/>
      </c>
      <c r="K897">
        <f>IF(G897="","",IF(F897="User2",G897,IF(F897="User1",0,IF(I897="Да",G897*'⚙️ Настройки'!B16,G897*0.5))))</f>
        <v/>
      </c>
    </row>
    <row r="898" ht="15.75" customHeight="1" s="149">
      <c r="A898" s="209" t="n"/>
      <c r="J898">
        <f>IF(G898="","",IF(F898="User1",G898,IF(F898="User2",0,IF(I898="Да",G898*'⚙️ Настройки'!B15,G898*0.5))))</f>
        <v/>
      </c>
      <c r="K898">
        <f>IF(G898="","",IF(F898="User2",G898,IF(F898="User1",0,IF(I898="Да",G898*'⚙️ Настройки'!B16,G898*0.5))))</f>
        <v/>
      </c>
    </row>
    <row r="899" ht="15.75" customHeight="1" s="149">
      <c r="A899" s="209" t="n"/>
      <c r="J899">
        <f>IF(G899="","",IF(F899="User1",G899,IF(F899="User2",0,IF(I899="Да",G899*'⚙️ Настройки'!B15,G899*0.5))))</f>
        <v/>
      </c>
      <c r="K899">
        <f>IF(G899="","",IF(F899="User2",G899,IF(F899="User1",0,IF(I899="Да",G899*'⚙️ Настройки'!B16,G899*0.5))))</f>
        <v/>
      </c>
    </row>
    <row r="900" ht="15.75" customHeight="1" s="149">
      <c r="A900" s="209" t="n"/>
      <c r="J900">
        <f>IF(G900="","",IF(F900="User1",G900,IF(F900="User2",0,IF(I900="Да",G900*'⚙️ Настройки'!B15,G900*0.5))))</f>
        <v/>
      </c>
      <c r="K900">
        <f>IF(G900="","",IF(F900="User2",G900,IF(F900="User1",0,IF(I900="Да",G900*'⚙️ Настройки'!B16,G900*0.5))))</f>
        <v/>
      </c>
    </row>
    <row r="901" ht="15.75" customHeight="1" s="149">
      <c r="A901" s="209" t="n"/>
      <c r="J901">
        <f>IF(G901="","",IF(F901="User1",G901,IF(F901="User2",0,IF(I901="Да",G901*'⚙️ Настройки'!B15,G901*0.5))))</f>
        <v/>
      </c>
      <c r="K901">
        <f>IF(G901="","",IF(F901="User2",G901,IF(F901="User1",0,IF(I901="Да",G901*'⚙️ Настройки'!B16,G901*0.5))))</f>
        <v/>
      </c>
    </row>
    <row r="902" ht="15.75" customHeight="1" s="149">
      <c r="A902" s="209" t="n"/>
      <c r="J902">
        <f>IF(G902="","",IF(F902="User1",G902,IF(F902="User2",0,IF(I902="Да",G902*'⚙️ Настройки'!B15,G902*0.5))))</f>
        <v/>
      </c>
      <c r="K902">
        <f>IF(G902="","",IF(F902="User2",G902,IF(F902="User1",0,IF(I902="Да",G902*'⚙️ Настройки'!B16,G902*0.5))))</f>
        <v/>
      </c>
    </row>
    <row r="903" ht="15.75" customHeight="1" s="149">
      <c r="A903" s="209" t="n"/>
      <c r="J903">
        <f>IF(G903="","",IF(F903="User1",G903,IF(F903="User2",0,IF(I903="Да",G903*'⚙️ Настройки'!B15,G903*0.5))))</f>
        <v/>
      </c>
      <c r="K903">
        <f>IF(G903="","",IF(F903="User2",G903,IF(F903="User1",0,IF(I903="Да",G903*'⚙️ Настройки'!B16,G903*0.5))))</f>
        <v/>
      </c>
    </row>
    <row r="904" ht="15.75" customHeight="1" s="149">
      <c r="A904" s="209" t="n"/>
      <c r="J904">
        <f>IF(G904="","",IF(F904="User1",G904,IF(F904="User2",0,IF(I904="Да",G904*'⚙️ Настройки'!B15,G904*0.5))))</f>
        <v/>
      </c>
      <c r="K904">
        <f>IF(G904="","",IF(F904="User2",G904,IF(F904="User1",0,IF(I904="Да",G904*'⚙️ Настройки'!B16,G904*0.5))))</f>
        <v/>
      </c>
    </row>
    <row r="905" ht="15.75" customHeight="1" s="149">
      <c r="A905" s="209" t="n"/>
      <c r="J905">
        <f>IF(G905="","",IF(F905="User1",G905,IF(F905="User2",0,IF(I905="Да",G905*'⚙️ Настройки'!B15,G905*0.5))))</f>
        <v/>
      </c>
      <c r="K905">
        <f>IF(G905="","",IF(F905="User2",G905,IF(F905="User1",0,IF(I905="Да",G905*'⚙️ Настройки'!B16,G905*0.5))))</f>
        <v/>
      </c>
    </row>
    <row r="906" ht="15.75" customHeight="1" s="149">
      <c r="A906" s="209" t="n"/>
      <c r="J906">
        <f>IF(G906="","",IF(F906="User1",G906,IF(F906="User2",0,IF(I906="Да",G906*'⚙️ Настройки'!B15,G906*0.5))))</f>
        <v/>
      </c>
      <c r="K906">
        <f>IF(G906="","",IF(F906="User2",G906,IF(F906="User1",0,IF(I906="Да",G906*'⚙️ Настройки'!B16,G906*0.5))))</f>
        <v/>
      </c>
    </row>
    <row r="907" ht="15.75" customHeight="1" s="149">
      <c r="A907" s="209" t="n"/>
      <c r="J907">
        <f>IF(G907="","",IF(F907="User1",G907,IF(F907="User2",0,IF(I907="Да",G907*'⚙️ Настройки'!B15,G907*0.5))))</f>
        <v/>
      </c>
      <c r="K907">
        <f>IF(G907="","",IF(F907="User2",G907,IF(F907="User1",0,IF(I907="Да",G907*'⚙️ Настройки'!B16,G907*0.5))))</f>
        <v/>
      </c>
    </row>
    <row r="908" ht="15.75" customHeight="1" s="149">
      <c r="A908" s="209" t="n"/>
      <c r="J908">
        <f>IF(G908="","",IF(F908="User1",G908,IF(F908="User2",0,IF(I908="Да",G908*'⚙️ Настройки'!B15,G908*0.5))))</f>
        <v/>
      </c>
      <c r="K908">
        <f>IF(G908="","",IF(F908="User2",G908,IF(F908="User1",0,IF(I908="Да",G908*'⚙️ Настройки'!B16,G908*0.5))))</f>
        <v/>
      </c>
    </row>
    <row r="909" ht="15.75" customHeight="1" s="149">
      <c r="A909" s="209" t="n"/>
      <c r="J909">
        <f>IF(G909="","",IF(F909="User1",G909,IF(F909="User2",0,IF(I909="Да",G909*'⚙️ Настройки'!B15,G909*0.5))))</f>
        <v/>
      </c>
      <c r="K909">
        <f>IF(G909="","",IF(F909="User2",G909,IF(F909="User1",0,IF(I909="Да",G909*'⚙️ Настройки'!B16,G909*0.5))))</f>
        <v/>
      </c>
    </row>
    <row r="910" ht="15.75" customHeight="1" s="149">
      <c r="A910" s="209" t="n"/>
      <c r="J910">
        <f>IF(G910="","",IF(F910="User1",G910,IF(F910="User2",0,IF(I910="Да",G910*'⚙️ Настройки'!B15,G910*0.5))))</f>
        <v/>
      </c>
      <c r="K910">
        <f>IF(G910="","",IF(F910="User2",G910,IF(F910="User1",0,IF(I910="Да",G910*'⚙️ Настройки'!B16,G910*0.5))))</f>
        <v/>
      </c>
    </row>
    <row r="911" ht="15.75" customHeight="1" s="149">
      <c r="A911" s="209" t="n"/>
      <c r="J911">
        <f>IF(G911="","",IF(F911="User1",G911,IF(F911="User2",0,IF(I911="Да",G911*'⚙️ Настройки'!B15,G911*0.5))))</f>
        <v/>
      </c>
      <c r="K911">
        <f>IF(G911="","",IF(F911="User2",G911,IF(F911="User1",0,IF(I911="Да",G911*'⚙️ Настройки'!B16,G911*0.5))))</f>
        <v/>
      </c>
    </row>
    <row r="912" ht="15.75" customHeight="1" s="149">
      <c r="A912" s="209" t="n"/>
      <c r="J912">
        <f>IF(G912="","",IF(F912="User1",G912,IF(F912="User2",0,IF(I912="Да",G912*'⚙️ Настройки'!B15,G912*0.5))))</f>
        <v/>
      </c>
      <c r="K912">
        <f>IF(G912="","",IF(F912="User2",G912,IF(F912="User1",0,IF(I912="Да",G912*'⚙️ Настройки'!B16,G912*0.5))))</f>
        <v/>
      </c>
    </row>
    <row r="913" ht="15.75" customHeight="1" s="149">
      <c r="A913" s="209" t="n"/>
      <c r="J913">
        <f>IF(G913="","",IF(F913="User1",G913,IF(F913="User2",0,IF(I913="Да",G913*'⚙️ Настройки'!B15,G913*0.5))))</f>
        <v/>
      </c>
      <c r="K913">
        <f>IF(G913="","",IF(F913="User2",G913,IF(F913="User1",0,IF(I913="Да",G913*'⚙️ Настройки'!B16,G913*0.5))))</f>
        <v/>
      </c>
    </row>
    <row r="914" ht="15.75" customHeight="1" s="149">
      <c r="A914" s="209" t="n"/>
      <c r="J914">
        <f>IF(G914="","",IF(F914="User1",G914,IF(F914="User2",0,IF(I914="Да",G914*'⚙️ Настройки'!B15,G914*0.5))))</f>
        <v/>
      </c>
      <c r="K914">
        <f>IF(G914="","",IF(F914="User2",G914,IF(F914="User1",0,IF(I914="Да",G914*'⚙️ Настройки'!B16,G914*0.5))))</f>
        <v/>
      </c>
    </row>
    <row r="915" ht="15.75" customHeight="1" s="149">
      <c r="A915" s="209" t="n"/>
      <c r="J915">
        <f>IF(G915="","",IF(F915="User1",G915,IF(F915="User2",0,IF(I915="Да",G915*'⚙️ Настройки'!B15,G915*0.5))))</f>
        <v/>
      </c>
      <c r="K915">
        <f>IF(G915="","",IF(F915="User2",G915,IF(F915="User1",0,IF(I915="Да",G915*'⚙️ Настройки'!B16,G915*0.5))))</f>
        <v/>
      </c>
    </row>
    <row r="916" ht="15.75" customHeight="1" s="149">
      <c r="A916" s="209" t="n"/>
      <c r="J916">
        <f>IF(G916="","",IF(F916="User1",G916,IF(F916="User2",0,IF(I916="Да",G916*'⚙️ Настройки'!B15,G916*0.5))))</f>
        <v/>
      </c>
      <c r="K916">
        <f>IF(G916="","",IF(F916="User2",G916,IF(F916="User1",0,IF(I916="Да",G916*'⚙️ Настройки'!B16,G916*0.5))))</f>
        <v/>
      </c>
    </row>
    <row r="917" ht="15.75" customHeight="1" s="149">
      <c r="A917" s="209" t="n"/>
      <c r="J917">
        <f>IF(G917="","",IF(F917="User1",G917,IF(F917="User2",0,IF(I917="Да",G917*'⚙️ Настройки'!B15,G917*0.5))))</f>
        <v/>
      </c>
      <c r="K917">
        <f>IF(G917="","",IF(F917="User2",G917,IF(F917="User1",0,IF(I917="Да",G917*'⚙️ Настройки'!B16,G917*0.5))))</f>
        <v/>
      </c>
    </row>
    <row r="918" ht="15.75" customHeight="1" s="149">
      <c r="A918" s="209" t="n"/>
      <c r="J918">
        <f>IF(G918="","",IF(F918="User1",G918,IF(F918="User2",0,IF(I918="Да",G918*'⚙️ Настройки'!B15,G918*0.5))))</f>
        <v/>
      </c>
      <c r="K918">
        <f>IF(G918="","",IF(F918="User2",G918,IF(F918="User1",0,IF(I918="Да",G918*'⚙️ Настройки'!B16,G918*0.5))))</f>
        <v/>
      </c>
    </row>
    <row r="919" ht="15.75" customHeight="1" s="149">
      <c r="A919" s="209" t="n"/>
      <c r="J919">
        <f>IF(G919="","",IF(F919="User1",G919,IF(F919="User2",0,IF(I919="Да",G919*'⚙️ Настройки'!B15,G919*0.5))))</f>
        <v/>
      </c>
      <c r="K919">
        <f>IF(G919="","",IF(F919="User2",G919,IF(F919="User1",0,IF(I919="Да",G919*'⚙️ Настройки'!B16,G919*0.5))))</f>
        <v/>
      </c>
    </row>
    <row r="920" ht="15.75" customHeight="1" s="149">
      <c r="A920" s="209" t="n"/>
      <c r="J920">
        <f>IF(G920="","",IF(F920="User1",G920,IF(F920="User2",0,IF(I920="Да",G920*'⚙️ Настройки'!B15,G920*0.5))))</f>
        <v/>
      </c>
      <c r="K920">
        <f>IF(G920="","",IF(F920="User2",G920,IF(F920="User1",0,IF(I920="Да",G920*'⚙️ Настройки'!B16,G920*0.5))))</f>
        <v/>
      </c>
    </row>
    <row r="921" ht="15.75" customHeight="1" s="149">
      <c r="A921" s="209" t="n"/>
      <c r="J921">
        <f>IF(G921="","",IF(F921="User1",G921,IF(F921="User2",0,IF(I921="Да",G921*'⚙️ Настройки'!B15,G921*0.5))))</f>
        <v/>
      </c>
      <c r="K921">
        <f>IF(G921="","",IF(F921="User2",G921,IF(F921="User1",0,IF(I921="Да",G921*'⚙️ Настройки'!B16,G921*0.5))))</f>
        <v/>
      </c>
    </row>
    <row r="922" ht="15.75" customHeight="1" s="149">
      <c r="A922" s="209" t="n"/>
      <c r="J922">
        <f>IF(G922="","",IF(F922="User1",G922,IF(F922="User2",0,IF(I922="Да",G922*'⚙️ Настройки'!B15,G922*0.5))))</f>
        <v/>
      </c>
      <c r="K922">
        <f>IF(G922="","",IF(F922="User2",G922,IF(F922="User1",0,IF(I922="Да",G922*'⚙️ Настройки'!B16,G922*0.5))))</f>
        <v/>
      </c>
    </row>
    <row r="923" ht="15.75" customHeight="1" s="149">
      <c r="A923" s="209" t="n"/>
      <c r="J923">
        <f>IF(G923="","",IF(F923="User1",G923,IF(F923="User2",0,IF(I923="Да",G923*'⚙️ Настройки'!B15,G923*0.5))))</f>
        <v/>
      </c>
      <c r="K923">
        <f>IF(G923="","",IF(F923="User2",G923,IF(F923="User1",0,IF(I923="Да",G923*'⚙️ Настройки'!B16,G923*0.5))))</f>
        <v/>
      </c>
    </row>
    <row r="924" ht="15.75" customHeight="1" s="149">
      <c r="A924" s="209" t="n"/>
      <c r="J924">
        <f>IF(G924="","",IF(F924="User1",G924,IF(F924="User2",0,IF(I924="Да",G924*'⚙️ Настройки'!B15,G924*0.5))))</f>
        <v/>
      </c>
      <c r="K924">
        <f>IF(G924="","",IF(F924="User2",G924,IF(F924="User1",0,IF(I924="Да",G924*'⚙️ Настройки'!B16,G924*0.5))))</f>
        <v/>
      </c>
    </row>
    <row r="925" ht="15.75" customHeight="1" s="149">
      <c r="A925" s="209" t="n"/>
      <c r="J925">
        <f>IF(G925="","",IF(F925="User1",G925,IF(F925="User2",0,IF(I925="Да",G925*'⚙️ Настройки'!B15,G925*0.5))))</f>
        <v/>
      </c>
      <c r="K925">
        <f>IF(G925="","",IF(F925="User2",G925,IF(F925="User1",0,IF(I925="Да",G925*'⚙️ Настройки'!B16,G925*0.5))))</f>
        <v/>
      </c>
    </row>
    <row r="926" ht="15.75" customHeight="1" s="149">
      <c r="A926" s="209" t="n"/>
      <c r="J926">
        <f>IF(G926="","",IF(F926="User1",G926,IF(F926="User2",0,IF(I926="Да",G926*'⚙️ Настройки'!B15,G926*0.5))))</f>
        <v/>
      </c>
      <c r="K926">
        <f>IF(G926="","",IF(F926="User2",G926,IF(F926="User1",0,IF(I926="Да",G926*'⚙️ Настройки'!B16,G926*0.5))))</f>
        <v/>
      </c>
    </row>
    <row r="927" ht="15.75" customHeight="1" s="149">
      <c r="A927" s="209" t="n"/>
      <c r="J927">
        <f>IF(G927="","",IF(F927="User1",G927,IF(F927="User2",0,IF(I927="Да",G927*'⚙️ Настройки'!B15,G927*0.5))))</f>
        <v/>
      </c>
      <c r="K927">
        <f>IF(G927="","",IF(F927="User2",G927,IF(F927="User1",0,IF(I927="Да",G927*'⚙️ Настройки'!B16,G927*0.5))))</f>
        <v/>
      </c>
    </row>
    <row r="928" ht="15.75" customHeight="1" s="149">
      <c r="A928" s="209" t="n"/>
      <c r="J928">
        <f>IF(G928="","",IF(F928="User1",G928,IF(F928="User2",0,IF(I928="Да",G928*'⚙️ Настройки'!B15,G928*0.5))))</f>
        <v/>
      </c>
      <c r="K928">
        <f>IF(G928="","",IF(F928="User2",G928,IF(F928="User1",0,IF(I928="Да",G928*'⚙️ Настройки'!B16,G928*0.5))))</f>
        <v/>
      </c>
    </row>
    <row r="929" ht="15.75" customHeight="1" s="149">
      <c r="A929" s="209" t="n"/>
      <c r="J929">
        <f>IF(G929="","",IF(F929="User1",G929,IF(F929="User2",0,IF(I929="Да",G929*'⚙️ Настройки'!B15,G929*0.5))))</f>
        <v/>
      </c>
      <c r="K929">
        <f>IF(G929="","",IF(F929="User2",G929,IF(F929="User1",0,IF(I929="Да",G929*'⚙️ Настройки'!B16,G929*0.5))))</f>
        <v/>
      </c>
    </row>
    <row r="930" ht="15.75" customHeight="1" s="149">
      <c r="A930" s="209" t="n"/>
      <c r="J930">
        <f>IF(G930="","",IF(F930="User1",G930,IF(F930="User2",0,IF(I930="Да",G930*'⚙️ Настройки'!B15,G930*0.5))))</f>
        <v/>
      </c>
      <c r="K930">
        <f>IF(G930="","",IF(F930="User2",G930,IF(F930="User1",0,IF(I930="Да",G930*'⚙️ Настройки'!B16,G930*0.5))))</f>
        <v/>
      </c>
    </row>
    <row r="931" ht="15.75" customHeight="1" s="149">
      <c r="A931" s="209" t="n"/>
      <c r="J931">
        <f>IF(G931="","",IF(F931="User1",G931,IF(F931="User2",0,IF(I931="Да",G931*'⚙️ Настройки'!B15,G931*0.5))))</f>
        <v/>
      </c>
      <c r="K931">
        <f>IF(G931="","",IF(F931="User2",G931,IF(F931="User1",0,IF(I931="Да",G931*'⚙️ Настройки'!B16,G931*0.5))))</f>
        <v/>
      </c>
    </row>
    <row r="932" ht="15.75" customHeight="1" s="149">
      <c r="A932" s="209" t="n"/>
      <c r="J932">
        <f>IF(G932="","",IF(F932="User1",G932,IF(F932="User2",0,IF(I932="Да",G932*'⚙️ Настройки'!B15,G932*0.5))))</f>
        <v/>
      </c>
      <c r="K932">
        <f>IF(G932="","",IF(F932="User2",G932,IF(F932="User1",0,IF(I932="Да",G932*'⚙️ Настройки'!B16,G932*0.5))))</f>
        <v/>
      </c>
    </row>
    <row r="933" ht="15.75" customHeight="1" s="149">
      <c r="A933" s="209" t="n"/>
      <c r="J933">
        <f>IF(G933="","",IF(F933="User1",G933,IF(F933="User2",0,IF(I933="Да",G933*'⚙️ Настройки'!B15,G933*0.5))))</f>
        <v/>
      </c>
      <c r="K933">
        <f>IF(G933="","",IF(F933="User2",G933,IF(F933="User1",0,IF(I933="Да",G933*'⚙️ Настройки'!B16,G933*0.5))))</f>
        <v/>
      </c>
    </row>
    <row r="934" ht="15.75" customHeight="1" s="149">
      <c r="A934" s="209" t="n"/>
      <c r="J934">
        <f>IF(G934="","",IF(F934="User1",G934,IF(F934="User2",0,IF(I934="Да",G934*'⚙️ Настройки'!B15,G934*0.5))))</f>
        <v/>
      </c>
      <c r="K934">
        <f>IF(G934="","",IF(F934="User2",G934,IF(F934="User1",0,IF(I934="Да",G934*'⚙️ Настройки'!B16,G934*0.5))))</f>
        <v/>
      </c>
    </row>
    <row r="935" ht="15.75" customHeight="1" s="149">
      <c r="A935" s="209" t="n"/>
      <c r="J935">
        <f>IF(G935="","",IF(F935="User1",G935,IF(F935="User2",0,IF(I935="Да",G935*'⚙️ Настройки'!B15,G935*0.5))))</f>
        <v/>
      </c>
      <c r="K935">
        <f>IF(G935="","",IF(F935="User2",G935,IF(F935="User1",0,IF(I935="Да",G935*'⚙️ Настройки'!B16,G935*0.5))))</f>
        <v/>
      </c>
    </row>
    <row r="936" ht="15.75" customHeight="1" s="149">
      <c r="A936" s="209" t="n"/>
      <c r="J936">
        <f>IF(G936="","",IF(F936="User1",G936,IF(F936="User2",0,IF(I936="Да",G936*'⚙️ Настройки'!B15,G936*0.5))))</f>
        <v/>
      </c>
      <c r="K936">
        <f>IF(G936="","",IF(F936="User2",G936,IF(F936="User1",0,IF(I936="Да",G936*'⚙️ Настройки'!B16,G936*0.5))))</f>
        <v/>
      </c>
    </row>
    <row r="937" ht="15.75" customHeight="1" s="149">
      <c r="A937" s="209" t="n"/>
      <c r="J937">
        <f>IF(G937="","",IF(F937="User1",G937,IF(F937="User2",0,IF(I937="Да",G937*'⚙️ Настройки'!B15,G937*0.5))))</f>
        <v/>
      </c>
      <c r="K937">
        <f>IF(G937="","",IF(F937="User2",G937,IF(F937="User1",0,IF(I937="Да",G937*'⚙️ Настройки'!B16,G937*0.5))))</f>
        <v/>
      </c>
    </row>
    <row r="938" ht="15.75" customHeight="1" s="149">
      <c r="A938" s="209" t="n"/>
      <c r="J938">
        <f>IF(G938="","",IF(F938="User1",G938,IF(F938="User2",0,IF(I938="Да",G938*'⚙️ Настройки'!B15,G938*0.5))))</f>
        <v/>
      </c>
      <c r="K938">
        <f>IF(G938="","",IF(F938="User2",G938,IF(F938="User1",0,IF(I938="Да",G938*'⚙️ Настройки'!B16,G938*0.5))))</f>
        <v/>
      </c>
    </row>
    <row r="939" ht="15.75" customHeight="1" s="149">
      <c r="A939" s="209" t="n"/>
      <c r="J939">
        <f>IF(G939="","",IF(F939="User1",G939,IF(F939="User2",0,IF(I939="Да",G939*'⚙️ Настройки'!B15,G939*0.5))))</f>
        <v/>
      </c>
      <c r="K939">
        <f>IF(G939="","",IF(F939="User2",G939,IF(F939="User1",0,IF(I939="Да",G939*'⚙️ Настройки'!B16,G939*0.5))))</f>
        <v/>
      </c>
    </row>
    <row r="940" ht="15.75" customHeight="1" s="149">
      <c r="A940" s="209" t="n"/>
      <c r="J940">
        <f>IF(G940="","",IF(F940="User1",G940,IF(F940="User2",0,IF(I940="Да",G940*'⚙️ Настройки'!B15,G940*0.5))))</f>
        <v/>
      </c>
      <c r="K940">
        <f>IF(G940="","",IF(F940="User2",G940,IF(F940="User1",0,IF(I940="Да",G940*'⚙️ Настройки'!B16,G940*0.5))))</f>
        <v/>
      </c>
    </row>
    <row r="941" ht="15.75" customHeight="1" s="149">
      <c r="A941" s="209" t="n"/>
      <c r="J941">
        <f>IF(G941="","",IF(F941="User1",G941,IF(F941="User2",0,IF(I941="Да",G941*'⚙️ Настройки'!B15,G941*0.5))))</f>
        <v/>
      </c>
      <c r="K941">
        <f>IF(G941="","",IF(F941="User2",G941,IF(F941="User1",0,IF(I941="Да",G941*'⚙️ Настройки'!B16,G941*0.5))))</f>
        <v/>
      </c>
    </row>
    <row r="942" ht="15.75" customHeight="1" s="149">
      <c r="A942" s="209" t="n"/>
      <c r="J942">
        <f>IF(G942="","",IF(F942="User1",G942,IF(F942="User2",0,IF(I942="Да",G942*'⚙️ Настройки'!B15,G942*0.5))))</f>
        <v/>
      </c>
      <c r="K942">
        <f>IF(G942="","",IF(F942="User2",G942,IF(F942="User1",0,IF(I942="Да",G942*'⚙️ Настройки'!B16,G942*0.5))))</f>
        <v/>
      </c>
    </row>
    <row r="943" ht="15.75" customHeight="1" s="149">
      <c r="A943" s="209" t="n"/>
      <c r="J943">
        <f>IF(G943="","",IF(F943="User1",G943,IF(F943="User2",0,IF(I943="Да",G943*'⚙️ Настройки'!B15,G943*0.5))))</f>
        <v/>
      </c>
      <c r="K943">
        <f>IF(G943="","",IF(F943="User2",G943,IF(F943="User1",0,IF(I943="Да",G943*'⚙️ Настройки'!B16,G943*0.5))))</f>
        <v/>
      </c>
    </row>
    <row r="944" ht="15.75" customHeight="1" s="149">
      <c r="A944" s="209" t="n"/>
      <c r="J944">
        <f>IF(G944="","",IF(F944="User1",G944,IF(F944="User2",0,IF(I944="Да",G944*'⚙️ Настройки'!B15,G944*0.5))))</f>
        <v/>
      </c>
      <c r="K944">
        <f>IF(G944="","",IF(F944="User2",G944,IF(F944="User1",0,IF(I944="Да",G944*'⚙️ Настройки'!B16,G944*0.5))))</f>
        <v/>
      </c>
    </row>
    <row r="945" ht="15.75" customHeight="1" s="149">
      <c r="A945" s="209" t="n"/>
      <c r="J945">
        <f>IF(G945="","",IF(F945="User1",G945,IF(F945="User2",0,IF(I945="Да",G945*'⚙️ Настройки'!B15,G945*0.5))))</f>
        <v/>
      </c>
      <c r="K945">
        <f>IF(G945="","",IF(F945="User2",G945,IF(F945="User1",0,IF(I945="Да",G945*'⚙️ Настройки'!B16,G945*0.5))))</f>
        <v/>
      </c>
    </row>
    <row r="946" ht="15.75" customHeight="1" s="149">
      <c r="A946" s="209" t="n"/>
      <c r="J946">
        <f>IF(G946="","",IF(F946="User1",G946,IF(F946="User2",0,IF(I946="Да",G946*'⚙️ Настройки'!B15,G946*0.5))))</f>
        <v/>
      </c>
      <c r="K946">
        <f>IF(G946="","",IF(F946="User2",G946,IF(F946="User1",0,IF(I946="Да",G946*'⚙️ Настройки'!B16,G946*0.5))))</f>
        <v/>
      </c>
    </row>
    <row r="947" ht="15.75" customHeight="1" s="149">
      <c r="A947" s="209" t="n"/>
      <c r="J947">
        <f>IF(G947="","",IF(F947="User1",G947,IF(F947="User2",0,IF(I947="Да",G947*'⚙️ Настройки'!B15,G947*0.5))))</f>
        <v/>
      </c>
      <c r="K947">
        <f>IF(G947="","",IF(F947="User2",G947,IF(F947="User1",0,IF(I947="Да",G947*'⚙️ Настройки'!B16,G947*0.5))))</f>
        <v/>
      </c>
    </row>
    <row r="948" ht="15.75" customHeight="1" s="149">
      <c r="A948" s="209" t="n"/>
      <c r="J948">
        <f>IF(G948="","",IF(F948="User1",G948,IF(F948="User2",0,IF(I948="Да",G948*'⚙️ Настройки'!B15,G948*0.5))))</f>
        <v/>
      </c>
      <c r="K948">
        <f>IF(G948="","",IF(F948="User2",G948,IF(F948="User1",0,IF(I948="Да",G948*'⚙️ Настройки'!B16,G948*0.5))))</f>
        <v/>
      </c>
    </row>
    <row r="949" ht="15.75" customHeight="1" s="149">
      <c r="A949" s="209" t="n"/>
      <c r="J949">
        <f>IF(G949="","",IF(F949="User1",G949,IF(F949="User2",0,IF(I949="Да",G949*'⚙️ Настройки'!B15,G949*0.5))))</f>
        <v/>
      </c>
      <c r="K949">
        <f>IF(G949="","",IF(F949="User2",G949,IF(F949="User1",0,IF(I949="Да",G949*'⚙️ Настройки'!B16,G949*0.5))))</f>
        <v/>
      </c>
    </row>
    <row r="950" ht="15.75" customHeight="1" s="149">
      <c r="A950" s="209" t="n"/>
      <c r="J950">
        <f>IF(G950="","",IF(F950="User1",G950,IF(F950="User2",0,IF(I950="Да",G950*'⚙️ Настройки'!B15,G950*0.5))))</f>
        <v/>
      </c>
      <c r="K950">
        <f>IF(G950="","",IF(F950="User2",G950,IF(F950="User1",0,IF(I950="Да",G950*'⚙️ Настройки'!B16,G950*0.5))))</f>
        <v/>
      </c>
    </row>
    <row r="951" ht="15.75" customHeight="1" s="149">
      <c r="A951" s="209" t="n"/>
      <c r="J951">
        <f>IF(G951="","",IF(F951="User1",G951,IF(F951="User2",0,IF(I951="Да",G951*'⚙️ Настройки'!B15,G951*0.5))))</f>
        <v/>
      </c>
      <c r="K951">
        <f>IF(G951="","",IF(F951="User2",G951,IF(F951="User1",0,IF(I951="Да",G951*'⚙️ Настройки'!B16,G951*0.5))))</f>
        <v/>
      </c>
    </row>
    <row r="952" ht="15.75" customHeight="1" s="149">
      <c r="A952" s="209" t="n"/>
      <c r="J952">
        <f>IF(G952="","",IF(F952="User1",G952,IF(F952="User2",0,IF(I952="Да",G952*'⚙️ Настройки'!B15,G952*0.5))))</f>
        <v/>
      </c>
      <c r="K952">
        <f>IF(G952="","",IF(F952="User2",G952,IF(F952="User1",0,IF(I952="Да",G952*'⚙️ Настройки'!B16,G952*0.5))))</f>
        <v/>
      </c>
    </row>
    <row r="953" ht="15.75" customHeight="1" s="149">
      <c r="A953" s="209" t="n"/>
      <c r="J953">
        <f>IF(G953="","",IF(F953="User1",G953,IF(F953="User2",0,IF(I953="Да",G953*'⚙️ Настройки'!B15,G953*0.5))))</f>
        <v/>
      </c>
      <c r="K953">
        <f>IF(G953="","",IF(F953="User2",G953,IF(F953="User1",0,IF(I953="Да",G953*'⚙️ Настройки'!B16,G953*0.5))))</f>
        <v/>
      </c>
    </row>
    <row r="954" ht="15.75" customHeight="1" s="149">
      <c r="A954" s="209" t="n"/>
      <c r="J954">
        <f>IF(G954="","",IF(F954="User1",G954,IF(F954="User2",0,IF(I954="Да",G954*'⚙️ Настройки'!B15,G954*0.5))))</f>
        <v/>
      </c>
      <c r="K954">
        <f>IF(G954="","",IF(F954="User2",G954,IF(F954="User1",0,IF(I954="Да",G954*'⚙️ Настройки'!B16,G954*0.5))))</f>
        <v/>
      </c>
    </row>
    <row r="955" ht="15.75" customHeight="1" s="149">
      <c r="A955" s="209" t="n"/>
      <c r="J955">
        <f>IF(G955="","",IF(F955="User1",G955,IF(F955="User2",0,IF(I955="Да",G955*'⚙️ Настройки'!B15,G955*0.5))))</f>
        <v/>
      </c>
      <c r="K955">
        <f>IF(G955="","",IF(F955="User2",G955,IF(F955="User1",0,IF(I955="Да",G955*'⚙️ Настройки'!B16,G955*0.5))))</f>
        <v/>
      </c>
    </row>
    <row r="956" ht="15.75" customHeight="1" s="149">
      <c r="A956" s="209" t="n"/>
      <c r="J956">
        <f>IF(G956="","",IF(F956="User1",G956,IF(F956="User2",0,IF(I956="Да",G956*'⚙️ Настройки'!B15,G956*0.5))))</f>
        <v/>
      </c>
      <c r="K956">
        <f>IF(G956="","",IF(F956="User2",G956,IF(F956="User1",0,IF(I956="Да",G956*'⚙️ Настройки'!B16,G956*0.5))))</f>
        <v/>
      </c>
    </row>
    <row r="957" ht="15.75" customHeight="1" s="149">
      <c r="A957" s="209" t="n"/>
      <c r="J957">
        <f>IF(G957="","",IF(F957="User1",G957,IF(F957="User2",0,IF(I957="Да",G957*'⚙️ Настройки'!B15,G957*0.5))))</f>
        <v/>
      </c>
      <c r="K957">
        <f>IF(G957="","",IF(F957="User2",G957,IF(F957="User1",0,IF(I957="Да",G957*'⚙️ Настройки'!B16,G957*0.5))))</f>
        <v/>
      </c>
    </row>
    <row r="958" ht="15.75" customHeight="1" s="149">
      <c r="A958" s="209" t="n"/>
      <c r="J958">
        <f>IF(G958="","",IF(F958="User1",G958,IF(F958="User2",0,IF(I958="Да",G958*'⚙️ Настройки'!B15,G958*0.5))))</f>
        <v/>
      </c>
      <c r="K958">
        <f>IF(G958="","",IF(F958="User2",G958,IF(F958="User1",0,IF(I958="Да",G958*'⚙️ Настройки'!B16,G958*0.5))))</f>
        <v/>
      </c>
    </row>
    <row r="959" ht="15.75" customHeight="1" s="149">
      <c r="A959" s="209" t="n"/>
      <c r="J959">
        <f>IF(G959="","",IF(F959="User1",G959,IF(F959="User2",0,IF(I959="Да",G959*'⚙️ Настройки'!B15,G959*0.5))))</f>
        <v/>
      </c>
      <c r="K959">
        <f>IF(G959="","",IF(F959="User2",G959,IF(F959="User1",0,IF(I959="Да",G959*'⚙️ Настройки'!B16,G959*0.5))))</f>
        <v/>
      </c>
    </row>
    <row r="960" ht="15.75" customHeight="1" s="149">
      <c r="A960" s="209" t="n"/>
      <c r="J960">
        <f>IF(G960="","",IF(F960="User1",G960,IF(F960="User2",0,IF(I960="Да",G960*'⚙️ Настройки'!B15,G960*0.5))))</f>
        <v/>
      </c>
      <c r="K960">
        <f>IF(G960="","",IF(F960="User2",G960,IF(F960="User1",0,IF(I960="Да",G960*'⚙️ Настройки'!B16,G960*0.5))))</f>
        <v/>
      </c>
    </row>
    <row r="961" ht="15.75" customHeight="1" s="149">
      <c r="A961" s="209" t="n"/>
      <c r="J961">
        <f>IF(G961="","",IF(F961="User1",G961,IF(F961="User2",0,IF(I961="Да",G961*'⚙️ Настройки'!B15,G961*0.5))))</f>
        <v/>
      </c>
      <c r="K961">
        <f>IF(G961="","",IF(F961="User2",G961,IF(F961="User1",0,IF(I961="Да",G961*'⚙️ Настройки'!B16,G961*0.5))))</f>
        <v/>
      </c>
    </row>
    <row r="962" ht="15.75" customHeight="1" s="149">
      <c r="A962" s="209" t="n"/>
      <c r="J962">
        <f>IF(G962="","",IF(F962="User1",G962,IF(F962="User2",0,IF(I962="Да",G962*'⚙️ Настройки'!B15,G962*0.5))))</f>
        <v/>
      </c>
      <c r="K962">
        <f>IF(G962="","",IF(F962="User2",G962,IF(F962="User1",0,IF(I962="Да",G962*'⚙️ Настройки'!B16,G962*0.5))))</f>
        <v/>
      </c>
    </row>
    <row r="963" ht="15.75" customHeight="1" s="149">
      <c r="A963" s="209" t="n"/>
      <c r="J963">
        <f>IF(G963="","",IF(F963="User1",G963,IF(F963="User2",0,IF(I963="Да",G963*'⚙️ Настройки'!B15,G963*0.5))))</f>
        <v/>
      </c>
      <c r="K963">
        <f>IF(G963="","",IF(F963="User2",G963,IF(F963="User1",0,IF(I963="Да",G963*'⚙️ Настройки'!B16,G963*0.5))))</f>
        <v/>
      </c>
    </row>
    <row r="964" ht="15.75" customHeight="1" s="149">
      <c r="A964" s="209" t="n"/>
      <c r="J964">
        <f>IF(G964="","",IF(F964="User1",G964,IF(F964="User2",0,IF(I964="Да",G964*'⚙️ Настройки'!B15,G964*0.5))))</f>
        <v/>
      </c>
      <c r="K964">
        <f>IF(G964="","",IF(F964="User2",G964,IF(F964="User1",0,IF(I964="Да",G964*'⚙️ Настройки'!B16,G964*0.5))))</f>
        <v/>
      </c>
    </row>
    <row r="965" ht="15.75" customHeight="1" s="149">
      <c r="A965" s="209" t="n"/>
      <c r="J965">
        <f>IF(G965="","",IF(F965="User1",G965,IF(F965="User2",0,IF(I965="Да",G965*'⚙️ Настройки'!B15,G965*0.5))))</f>
        <v/>
      </c>
      <c r="K965">
        <f>IF(G965="","",IF(F965="User2",G965,IF(F965="User1",0,IF(I965="Да",G965*'⚙️ Настройки'!B16,G965*0.5))))</f>
        <v/>
      </c>
    </row>
    <row r="966" ht="15.75" customHeight="1" s="149">
      <c r="A966" s="209" t="n"/>
      <c r="J966">
        <f>IF(G966="","",IF(F966="User1",G966,IF(F966="User2",0,IF(I966="Да",G966*'⚙️ Настройки'!B15,G966*0.5))))</f>
        <v/>
      </c>
      <c r="K966">
        <f>IF(G966="","",IF(F966="User2",G966,IF(F966="User1",0,IF(I966="Да",G966*'⚙️ Настройки'!B16,G966*0.5))))</f>
        <v/>
      </c>
    </row>
    <row r="967" ht="15.75" customHeight="1" s="149">
      <c r="A967" s="209" t="n"/>
      <c r="J967">
        <f>IF(G967="","",IF(F967="User1",G967,IF(F967="User2",0,IF(I967="Да",G967*'⚙️ Настройки'!B15,G967*0.5))))</f>
        <v/>
      </c>
      <c r="K967">
        <f>IF(G967="","",IF(F967="User2",G967,IF(F967="User1",0,IF(I967="Да",G967*'⚙️ Настройки'!B16,G967*0.5))))</f>
        <v/>
      </c>
    </row>
    <row r="968" ht="15.75" customHeight="1" s="149">
      <c r="A968" s="209" t="n"/>
      <c r="J968">
        <f>IF(G968="","",IF(F968="User1",G968,IF(F968="User2",0,IF(I968="Да",G968*'⚙️ Настройки'!B15,G968*0.5))))</f>
        <v/>
      </c>
      <c r="K968">
        <f>IF(G968="","",IF(F968="User2",G968,IF(F968="User1",0,IF(I968="Да",G968*'⚙️ Настройки'!B16,G968*0.5))))</f>
        <v/>
      </c>
    </row>
    <row r="969" ht="15.75" customHeight="1" s="149">
      <c r="A969" s="209" t="n"/>
      <c r="J969">
        <f>IF(G969="","",IF(F969="User1",G969,IF(F969="User2",0,IF(I969="Да",G969*'⚙️ Настройки'!B15,G969*0.5))))</f>
        <v/>
      </c>
      <c r="K969">
        <f>IF(G969="","",IF(F969="User2",G969,IF(F969="User1",0,IF(I969="Да",G969*'⚙️ Настройки'!B16,G969*0.5))))</f>
        <v/>
      </c>
    </row>
    <row r="970" ht="15.75" customHeight="1" s="149">
      <c r="A970" s="209" t="n"/>
      <c r="J970">
        <f>IF(G970="","",IF(F970="User1",G970,IF(F970="User2",0,IF(I970="Да",G970*'⚙️ Настройки'!B15,G970*0.5))))</f>
        <v/>
      </c>
      <c r="K970">
        <f>IF(G970="","",IF(F970="User2",G970,IF(F970="User1",0,IF(I970="Да",G970*'⚙️ Настройки'!B16,G970*0.5))))</f>
        <v/>
      </c>
    </row>
    <row r="971" ht="15.75" customHeight="1" s="149">
      <c r="A971" s="209" t="n"/>
      <c r="J971">
        <f>IF(G971="","",IF(F971="User1",G971,IF(F971="User2",0,IF(I971="Да",G971*'⚙️ Настройки'!B15,G971*0.5))))</f>
        <v/>
      </c>
      <c r="K971">
        <f>IF(G971="","",IF(F971="User2",G971,IF(F971="User1",0,IF(I971="Да",G971*'⚙️ Настройки'!B16,G971*0.5))))</f>
        <v/>
      </c>
    </row>
    <row r="972" ht="15.75" customHeight="1" s="149">
      <c r="A972" s="209" t="n"/>
      <c r="J972">
        <f>IF(G972="","",IF(F972="User1",G972,IF(F972="User2",0,IF(I972="Да",G972*'⚙️ Настройки'!B15,G972*0.5))))</f>
        <v/>
      </c>
      <c r="K972">
        <f>IF(G972="","",IF(F972="User2",G972,IF(F972="User1",0,IF(I972="Да",G972*'⚙️ Настройки'!B16,G972*0.5))))</f>
        <v/>
      </c>
    </row>
    <row r="973" ht="15.75" customHeight="1" s="149">
      <c r="A973" s="209" t="n"/>
      <c r="J973">
        <f>IF(G973="","",IF(F973="User1",G973,IF(F973="User2",0,IF(I973="Да",G973*'⚙️ Настройки'!B15,G973*0.5))))</f>
        <v/>
      </c>
      <c r="K973">
        <f>IF(G973="","",IF(F973="User2",G973,IF(F973="User1",0,IF(I973="Да",G973*'⚙️ Настройки'!B16,G973*0.5))))</f>
        <v/>
      </c>
    </row>
    <row r="974" ht="15.75" customHeight="1" s="149">
      <c r="A974" s="209" t="n"/>
      <c r="J974">
        <f>IF(G974="","",IF(F974="User1",G974,IF(F974="User2",0,IF(I974="Да",G974*'⚙️ Настройки'!B15,G974*0.5))))</f>
        <v/>
      </c>
      <c r="K974">
        <f>IF(G974="","",IF(F974="User2",G974,IF(F974="User1",0,IF(I974="Да",G974*'⚙️ Настройки'!B16,G974*0.5))))</f>
        <v/>
      </c>
    </row>
    <row r="975" ht="15.75" customHeight="1" s="149">
      <c r="A975" s="209" t="n"/>
      <c r="J975">
        <f>IF(G975="","",IF(F975="User1",G975,IF(F975="User2",0,IF(I975="Да",G975*'⚙️ Настройки'!B15,G975*0.5))))</f>
        <v/>
      </c>
      <c r="K975">
        <f>IF(G975="","",IF(F975="User2",G975,IF(F975="User1",0,IF(I975="Да",G975*'⚙️ Настройки'!B16,G975*0.5))))</f>
        <v/>
      </c>
    </row>
    <row r="976" ht="15.75" customHeight="1" s="149">
      <c r="A976" s="209" t="n"/>
      <c r="J976">
        <f>IF(G976="","",IF(F976="User1",G976,IF(F976="User2",0,IF(I976="Да",G976*'⚙️ Настройки'!B15,G976*0.5))))</f>
        <v/>
      </c>
      <c r="K976">
        <f>IF(G976="","",IF(F976="User2",G976,IF(F976="User1",0,IF(I976="Да",G976*'⚙️ Настройки'!B16,G976*0.5))))</f>
        <v/>
      </c>
    </row>
    <row r="977" ht="15.75" customHeight="1" s="149">
      <c r="A977" s="209" t="n"/>
      <c r="J977">
        <f>IF(G977="","",IF(F977="User1",G977,IF(F977="User2",0,IF(I977="Да",G977*'⚙️ Настройки'!B15,G977*0.5))))</f>
        <v/>
      </c>
      <c r="K977">
        <f>IF(G977="","",IF(F977="User2",G977,IF(F977="User1",0,IF(I977="Да",G977*'⚙️ Настройки'!B16,G977*0.5))))</f>
        <v/>
      </c>
    </row>
    <row r="978" ht="15.75" customHeight="1" s="149">
      <c r="A978" s="209" t="n"/>
      <c r="J978">
        <f>IF(G978="","",IF(F978="User1",G978,IF(F978="User2",0,IF(I978="Да",G978*'⚙️ Настройки'!B15,G978*0.5))))</f>
        <v/>
      </c>
      <c r="K978">
        <f>IF(G978="","",IF(F978="User2",G978,IF(F978="User1",0,IF(I978="Да",G978*'⚙️ Настройки'!B16,G978*0.5))))</f>
        <v/>
      </c>
    </row>
    <row r="979" ht="15.75" customHeight="1" s="149">
      <c r="A979" s="209" t="n"/>
      <c r="J979">
        <f>IF(G979="","",IF(F979="User1",G979,IF(F979="User2",0,IF(I979="Да",G979*'⚙️ Настройки'!B15,G979*0.5))))</f>
        <v/>
      </c>
      <c r="K979">
        <f>IF(G979="","",IF(F979="User2",G979,IF(F979="User1",0,IF(I979="Да",G979*'⚙️ Настройки'!B16,G979*0.5))))</f>
        <v/>
      </c>
    </row>
    <row r="980" ht="15.75" customHeight="1" s="149">
      <c r="A980" s="209" t="n"/>
      <c r="J980">
        <f>IF(G980="","",IF(F980="User1",G980,IF(F980="User2",0,IF(I980="Да",G980*'⚙️ Настройки'!B15,G980*0.5))))</f>
        <v/>
      </c>
      <c r="K980">
        <f>IF(G980="","",IF(F980="User2",G980,IF(F980="User1",0,IF(I980="Да",G980*'⚙️ Настройки'!B16,G980*0.5))))</f>
        <v/>
      </c>
    </row>
    <row r="981" ht="15.75" customHeight="1" s="149">
      <c r="A981" s="209" t="n"/>
      <c r="J981">
        <f>IF(G981="","",IF(F981="User1",G981,IF(F981="User2",0,IF(I981="Да",G981*'⚙️ Настройки'!B15,G981*0.5))))</f>
        <v/>
      </c>
      <c r="K981">
        <f>IF(G981="","",IF(F981="User2",G981,IF(F981="User1",0,IF(I981="Да",G981*'⚙️ Настройки'!B16,G981*0.5))))</f>
        <v/>
      </c>
    </row>
    <row r="982" ht="15.75" customHeight="1" s="149">
      <c r="A982" s="209" t="n"/>
      <c r="J982">
        <f>IF(G982="","",IF(F982="User1",G982,IF(F982="User2",0,IF(I982="Да",G982*'⚙️ Настройки'!B15,G982*0.5))))</f>
        <v/>
      </c>
      <c r="K982">
        <f>IF(G982="","",IF(F982="User2",G982,IF(F982="User1",0,IF(I982="Да",G982*'⚙️ Настройки'!B16,G982*0.5))))</f>
        <v/>
      </c>
    </row>
    <row r="983" ht="15.75" customHeight="1" s="149">
      <c r="A983" s="209" t="n"/>
      <c r="J983">
        <f>IF(G983="","",IF(F983="User1",G983,IF(F983="User2",0,IF(I983="Да",G983*'⚙️ Настройки'!B15,G983*0.5))))</f>
        <v/>
      </c>
      <c r="K983">
        <f>IF(G983="","",IF(F983="User2",G983,IF(F983="User1",0,IF(I983="Да",G983*'⚙️ Настройки'!B16,G983*0.5))))</f>
        <v/>
      </c>
    </row>
    <row r="984" ht="15.75" customHeight="1" s="149">
      <c r="A984" s="209" t="n"/>
      <c r="J984">
        <f>IF(G984="","",IF(F984="User1",G984,IF(F984="User2",0,IF(I984="Да",G984*'⚙️ Настройки'!B15,G984*0.5))))</f>
        <v/>
      </c>
      <c r="K984">
        <f>IF(G984="","",IF(F984="User2",G984,IF(F984="User1",0,IF(I984="Да",G984*'⚙️ Настройки'!B16,G984*0.5))))</f>
        <v/>
      </c>
    </row>
    <row r="985" ht="15.75" customHeight="1" s="149">
      <c r="A985" s="209" t="n"/>
      <c r="J985">
        <f>IF(G985="","",IF(F985="User1",G985,IF(F985="User2",0,IF(I985="Да",G985*'⚙️ Настройки'!B15,G985*0.5))))</f>
        <v/>
      </c>
      <c r="K985">
        <f>IF(G985="","",IF(F985="User2",G985,IF(F985="User1",0,IF(I985="Да",G985*'⚙️ Настройки'!B16,G985*0.5))))</f>
        <v/>
      </c>
    </row>
    <row r="986" ht="15.75" customHeight="1" s="149">
      <c r="A986" s="209" t="n"/>
      <c r="J986">
        <f>IF(G986="","",IF(F986="User1",G986,IF(F986="User2",0,IF(I986="Да",G986*'⚙️ Настройки'!B15,G986*0.5))))</f>
        <v/>
      </c>
      <c r="K986">
        <f>IF(G986="","",IF(F986="User2",G986,IF(F986="User1",0,IF(I986="Да",G986*'⚙️ Настройки'!B16,G986*0.5))))</f>
        <v/>
      </c>
    </row>
    <row r="987" ht="15.75" customHeight="1" s="149">
      <c r="A987" s="209" t="n"/>
      <c r="J987">
        <f>IF(G987="","",IF(F987="User1",G987,IF(F987="User2",0,IF(I987="Да",G987*'⚙️ Настройки'!B15,G987*0.5))))</f>
        <v/>
      </c>
      <c r="K987">
        <f>IF(G987="","",IF(F987="User2",G987,IF(F987="User1",0,IF(I987="Да",G987*'⚙️ Настройки'!B16,G987*0.5))))</f>
        <v/>
      </c>
    </row>
    <row r="988" ht="15.75" customHeight="1" s="149">
      <c r="A988" s="209" t="n"/>
      <c r="J988">
        <f>IF(G988="","",IF(F988="User1",G988,IF(F988="User2",0,IF(I988="Да",G988*'⚙️ Настройки'!B15,G988*0.5))))</f>
        <v/>
      </c>
      <c r="K988">
        <f>IF(G988="","",IF(F988="User2",G988,IF(F988="User1",0,IF(I988="Да",G988*'⚙️ Настройки'!B16,G988*0.5))))</f>
        <v/>
      </c>
    </row>
    <row r="989" ht="15.75" customHeight="1" s="149">
      <c r="A989" s="209" t="n"/>
      <c r="J989">
        <f>IF(G989="","",IF(F989="User1",G989,IF(F989="User2",0,IF(I989="Да",G989*'⚙️ Настройки'!B15,G989*0.5))))</f>
        <v/>
      </c>
      <c r="K989">
        <f>IF(G989="","",IF(F989="User2",G989,IF(F989="User1",0,IF(I989="Да",G989*'⚙️ Настройки'!B16,G989*0.5))))</f>
        <v/>
      </c>
    </row>
    <row r="990" ht="15.75" customHeight="1" s="149">
      <c r="A990" s="209" t="n"/>
      <c r="J990">
        <f>IF(G990="","",IF(F990="User1",G990,IF(F990="User2",0,IF(I990="Да",G990*'⚙️ Настройки'!B15,G990*0.5))))</f>
        <v/>
      </c>
      <c r="K990">
        <f>IF(G990="","",IF(F990="User2",G990,IF(F990="User1",0,IF(I990="Да",G990*'⚙️ Настройки'!B16,G990*0.5))))</f>
        <v/>
      </c>
    </row>
    <row r="991" ht="15.75" customHeight="1" s="149">
      <c r="A991" s="209" t="n"/>
      <c r="J991">
        <f>IF(G991="","",IF(F991="User1",G991,IF(F991="User2",0,IF(I991="Да",G991*'⚙️ Настройки'!B15,G991*0.5))))</f>
        <v/>
      </c>
      <c r="K991">
        <f>IF(G991="","",IF(F991="User2",G991,IF(F991="User1",0,IF(I991="Да",G991*'⚙️ Настройки'!B16,G991*0.5))))</f>
        <v/>
      </c>
    </row>
    <row r="992" ht="15.75" customHeight="1" s="149">
      <c r="A992" s="209" t="n"/>
      <c r="J992">
        <f>IF(G992="","",IF(F992="User1",G992,IF(F992="User2",0,IF(I992="Да",G992*'⚙️ Настройки'!B15,G992*0.5))))</f>
        <v/>
      </c>
      <c r="K992">
        <f>IF(G992="","",IF(F992="User2",G992,IF(F992="User1",0,IF(I992="Да",G992*'⚙️ Настройки'!B16,G992*0.5))))</f>
        <v/>
      </c>
    </row>
    <row r="993" ht="15.75" customHeight="1" s="149">
      <c r="A993" s="209" t="n"/>
      <c r="J993">
        <f>IF(G993="","",IF(F993="User1",G993,IF(F993="User2",0,IF(I993="Да",G993*'⚙️ Настройки'!B15,G993*0.5))))</f>
        <v/>
      </c>
      <c r="K993">
        <f>IF(G993="","",IF(F993="User2",G993,IF(F993="User1",0,IF(I993="Да",G993*'⚙️ Настройки'!B16,G993*0.5))))</f>
        <v/>
      </c>
    </row>
    <row r="994" ht="15.75" customHeight="1" s="149">
      <c r="A994" s="209" t="n"/>
      <c r="J994">
        <f>IF(G994="","",IF(F994="User1",G994,IF(F994="User2",0,IF(I994="Да",G994*'⚙️ Настройки'!B15,G994*0.5))))</f>
        <v/>
      </c>
      <c r="K994">
        <f>IF(G994="","",IF(F994="User2",G994,IF(F994="User1",0,IF(I994="Да",G994*'⚙️ Настройки'!B16,G994*0.5))))</f>
        <v/>
      </c>
    </row>
    <row r="995" ht="15.75" customHeight="1" s="149">
      <c r="A995" s="209" t="n"/>
      <c r="J995">
        <f>IF(G995="","",IF(F995="User1",G995,IF(F995="User2",0,IF(I995="Да",G995*'⚙️ Настройки'!B15,G995*0.5))))</f>
        <v/>
      </c>
      <c r="K995">
        <f>IF(G995="","",IF(F995="User2",G995,IF(F995="User1",0,IF(I995="Да",G995*'⚙️ Настройки'!B16,G995*0.5))))</f>
        <v/>
      </c>
    </row>
    <row r="996" ht="15.75" customHeight="1" s="149">
      <c r="A996" s="209" t="n"/>
      <c r="J996">
        <f>IF(G996="","",IF(F996="User1",G996,IF(F996="User2",0,IF(I996="Да",G996*'⚙️ Настройки'!B15,G996*0.5))))</f>
        <v/>
      </c>
      <c r="K996">
        <f>IF(G996="","",IF(F996="User2",G996,IF(F996="User1",0,IF(I996="Да",G996*'⚙️ Настройки'!B16,G996*0.5))))</f>
        <v/>
      </c>
    </row>
    <row r="997" ht="15.75" customHeight="1" s="149">
      <c r="A997" s="209" t="n"/>
      <c r="J997">
        <f>IF(G997="","",IF(F997="User1",G997,IF(F997="User2",0,IF(I997="Да",G997*'⚙️ Настройки'!B15,G997*0.5))))</f>
        <v/>
      </c>
      <c r="K997">
        <f>IF(G997="","",IF(F997="User2",G997,IF(F997="User1",0,IF(I997="Да",G997*'⚙️ Настройки'!B16,G997*0.5))))</f>
        <v/>
      </c>
    </row>
    <row r="998" ht="15.75" customHeight="1" s="149">
      <c r="A998" s="209" t="n"/>
      <c r="J998">
        <f>IF(G998="","",IF(F998="User1",G998,IF(F998="User2",0,IF(I998="Да",G998*'⚙️ Настройки'!B15,G998*0.5))))</f>
        <v/>
      </c>
      <c r="K998">
        <f>IF(G998="","",IF(F998="User2",G998,IF(F998="User1",0,IF(I998="Да",G998*'⚙️ Настройки'!B16,G998*0.5))))</f>
        <v/>
      </c>
    </row>
    <row r="999" ht="15.75" customHeight="1" s="149">
      <c r="A999" s="209" t="n"/>
      <c r="J999">
        <f>IF(G999="","",IF(F999="User1",G999,IF(F999="User2",0,IF(I999="Да",G999*'⚙️ Настройки'!B15,G999*0.5))))</f>
        <v/>
      </c>
      <c r="K999">
        <f>IF(G999="","",IF(F999="User2",G999,IF(F999="User1",0,IF(I999="Да",G999*'⚙️ Настройки'!B16,G999*0.5))))</f>
        <v/>
      </c>
    </row>
  </sheetData>
  <mergeCells count="1">
    <mergeCell ref="A1:K1"/>
  </mergeCells>
  <dataValidations count="8">
    <dataValidation sqref="E3:E872" showDropDown="0" showInputMessage="0" showErrorMessage="0" allowBlank="1" type="list" errorStyle="stop" operator="between">
      <formula1>"Расход,Доход,Перевод"</formula1>
      <formula2>0</formula2>
    </dataValidation>
    <dataValidation sqref="D18:D872" showDropDown="0" showInputMessage="0" showErrorMessage="1" allowBlank="1" type="list" errorStyle="stop" operator="between">
      <formula1>"Еда и продукты,Кредиты,Ипотека,Коммунальные,Транспорт,Бензин,Животные (Кейси),Платежи/подписки,Никите (личное),Кате (личное),Развлечения,Подарки,Путешествия,Одежда,Здоровье,Саморазвитие,Спонтанка,Всякое"</formula1>
      <formula2>0</formula2>
    </dataValidation>
    <dataValidation sqref="F18:F872" showDropDown="0" showInputMessage="0" showErrorMessage="0" allowBlank="1" type="list" errorStyle="stop" operator="between">
      <formula1>"Никита,Катя,Общее"</formula1>
      <formula2>0</formula2>
    </dataValidation>
    <dataValidation sqref="H18:H872" showDropDown="0" showInputMessage="0" showErrorMessage="0" allowBlank="1" type="list" errorStyle="stop" operator="between">
      <formula1>"Tinkoff Black,ВТБ текущий,Сбер текущий,ВТБ Вклад,Инвесткопилка,Bybit,Trust Wallet,Freedom Finance,Наличные"</formula1>
      <formula2>0</formula2>
    </dataValidation>
    <dataValidation sqref="I3:I872" showDropDown="0" showInputMessage="0" showErrorMessage="0" allowBlank="1" type="list" errorStyle="stop" operator="between">
      <formula1>"Да,Нет"</formula1>
      <formula2>0</formula2>
    </dataValidation>
    <dataValidation sqref="D3:D17" showDropDown="0" showInputMessage="0" showErrorMessage="1" allowBlank="1" type="list" errorStyle="stop" operator="between">
      <formula1>"Еда и продукты,Кредиты,Ипотека,Коммунальные,Транспорт,Бензин,Животные (Pet),Платежи/подписки,User1 (личное),User2 (личное),Развлечения,Подарки,Путешествия,Одежда,Здоровье,Саморазвитие,Спонтанка,Всякое"</formula1>
      <formula2>0</formula2>
    </dataValidation>
    <dataValidation sqref="F3:F17" showDropDown="0" showInputMessage="0" showErrorMessage="0" allowBlank="1" type="list" errorStyle="stop" operator="between">
      <formula1>"User1,User2,Общее"</formula1>
      <formula2>0</formula2>
    </dataValidation>
    <dataValidation sqref="H3:H17" showDropDown="0" showInputMessage="0" showErrorMessage="0" allowBlank="1" type="list" errorStyle="stop" operator="between">
      <formula1>"Main Card,Bank текущий,Bank текущий,Bank Вклад,Инвесткопилка,Bybit,Trust Wallet,Freedom Finance,Наличные"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4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I29" activeCellId="0" sqref="I29"/>
    </sheetView>
  </sheetViews>
  <sheetFormatPr baseColWidth="8" defaultColWidth="14.42578125" defaultRowHeight="15" zeroHeight="0" outlineLevelRow="0"/>
  <cols>
    <col width="28" customWidth="1" style="148" min="1" max="1"/>
    <col width="16" customWidth="1" style="148" min="2" max="5"/>
    <col width="14" customWidth="1" style="148" min="6" max="6"/>
    <col width="8.710000000000001" customWidth="1" style="148" min="7" max="8"/>
    <col width="55.29" customWidth="1" style="148" min="9" max="9"/>
    <col width="14.14" customWidth="1" style="148" min="10" max="10"/>
    <col width="18.29" customWidth="1" style="148" min="11" max="11"/>
    <col width="8.710000000000001" customWidth="1" style="148" min="12" max="26"/>
  </cols>
  <sheetData>
    <row r="1" ht="36" customHeight="1" s="149">
      <c r="A1" s="211" t="inlineStr">
        <is>
          <t>📊  СВОДКА ПО МЕСЯЦУ</t>
        </is>
      </c>
      <c r="B1" s="152" t="n"/>
      <c r="C1" s="152" t="n"/>
      <c r="D1" s="152" t="n"/>
      <c r="E1" s="152" t="n"/>
      <c r="F1" s="153" t="n"/>
    </row>
    <row r="2" ht="15" customHeight="1" s="149">
      <c r="A2" s="212" t="inlineStr">
        <is>
          <t>Выбери месяц →</t>
        </is>
      </c>
      <c r="B2" s="213" t="inlineStr">
        <is>
          <t>2026-04</t>
        </is>
      </c>
      <c r="C2" s="214" t="inlineStr">
        <is>
          <t>формат: YYYY-MM (например 2026-04)</t>
        </is>
      </c>
      <c r="D2" s="152" t="n"/>
      <c r="E2" s="152" t="n"/>
      <c r="F2" s="153" t="n"/>
    </row>
    <row r="3" ht="7.5" customHeight="1" s="149"/>
    <row r="4" ht="24" customHeight="1" s="149">
      <c r="A4" s="215" t="inlineStr">
        <is>
          <t>💰  ДОХОДЫ</t>
        </is>
      </c>
      <c r="B4" s="152" t="n"/>
      <c r="C4" s="152" t="n"/>
      <c r="D4" s="152" t="n"/>
      <c r="E4" s="152" t="n"/>
      <c r="F4" s="153" t="n"/>
      <c r="I4" s="158" t="inlineStr">
        <is>
          <t>Зарплата User1</t>
        </is>
      </c>
      <c r="J4" s="159" t="n">
        <v>75000</v>
      </c>
    </row>
    <row r="5" ht="15" customHeight="1" s="149">
      <c r="A5" s="216" t="inlineStr">
        <is>
          <t>Доходы User1</t>
        </is>
      </c>
      <c r="B5" s="217" t="n">
        <v>75000</v>
      </c>
      <c r="C5" s="218" t="n"/>
      <c r="D5" s="152" t="n"/>
      <c r="E5" s="152" t="n"/>
      <c r="F5" s="153" t="n"/>
      <c r="I5" s="169" t="inlineStr">
        <is>
          <t>💼  РАСЧЁТ ЗАРПЛАТЫ ПО РАБОЧИМ ДНЯМ</t>
        </is>
      </c>
      <c r="J5" s="170" t="n"/>
      <c r="K5" s="170" t="n"/>
    </row>
    <row r="6" ht="15" customHeight="1" s="149">
      <c r="A6" s="216" t="inlineStr">
        <is>
          <t>Доходы User2</t>
        </is>
      </c>
      <c r="B6" s="217">
        <f>SUMIFS('📋 Транзакции'!G:G,'📋 Транзакции'!B:B,$B$2,'📋 Транзакции'!E:E,"Доход",'📋 Транзакции'!F:F,"User2")</f>
        <v/>
      </c>
      <c r="C6" s="218" t="n"/>
      <c r="D6" s="152" t="n"/>
      <c r="E6" s="152" t="n"/>
      <c r="F6" s="153" t="n"/>
      <c r="I6" s="171" t="inlineStr">
        <is>
          <t>Расчётный месяц →</t>
        </is>
      </c>
      <c r="J6" s="172" t="inlineStr">
        <is>
          <t>2026-04</t>
        </is>
      </c>
      <c r="K6" s="173" t="inlineStr">
        <is>
          <t>← введи нужный месяц (ГГГГ-ММ)</t>
        </is>
      </c>
    </row>
    <row r="7" ht="15" customHeight="1" s="149">
      <c r="A7" s="219" t="inlineStr">
        <is>
          <t>ИТОГО ДОХОДЫ</t>
        </is>
      </c>
      <c r="B7" s="220">
        <f>SUM(B5:B6)</f>
        <v/>
      </c>
      <c r="C7" s="221" t="n"/>
      <c r="D7" s="152" t="n"/>
      <c r="E7" s="152" t="n"/>
      <c r="F7" s="153" t="n"/>
      <c r="I7" s="171" t="inlineStr">
        <is>
          <t>Рабочих дней  1 – 15</t>
        </is>
      </c>
      <c r="J7" s="174">
        <f>IFERROR(NETWORKDAYS(DATE(LEFT(J6,4)*1,RIGHT(J6,2)*1,1),DATE(LEFT(J6,4)*1,RIGHT(J6,2)*1,15)),0)</f>
        <v/>
      </c>
      <c r="K7" s="170" t="n"/>
    </row>
    <row r="8" ht="24.75" customHeight="1" s="149">
      <c r="I8" s="171" t="inlineStr">
        <is>
          <t>Рабочих дней 16 – конец</t>
        </is>
      </c>
      <c r="J8" s="174">
        <f>IFERROR(NETWORKDAYS(DATE(LEFT(J6,4)*1,RIGHT(J6,2)*1,16),EOMONTH(DATE(LEFT(J6,4)*1,RIGHT(J6,2)*1,1),0)),0)</f>
        <v/>
      </c>
      <c r="K8" s="170" t="n"/>
    </row>
    <row r="9" ht="24" customHeight="1" s="149">
      <c r="A9" s="222" t="inlineStr">
        <is>
          <t>💸  РАСХОДЫ ПО КАТЕГОРИЯМ</t>
        </is>
      </c>
      <c r="B9" s="151" t="inlineStr">
        <is>
          <t>Всего</t>
        </is>
      </c>
      <c r="C9" s="151" t="inlineStr">
        <is>
          <t>User1</t>
        </is>
      </c>
      <c r="D9" s="151" t="inlineStr">
        <is>
          <t>User2</t>
        </is>
      </c>
      <c r="E9" s="151" t="inlineStr">
        <is>
          <t>Обязат.</t>
        </is>
      </c>
      <c r="F9" s="151" t="inlineStr">
        <is>
          <t>% дохода</t>
        </is>
      </c>
      <c r="I9" s="176" t="inlineStr">
        <is>
          <t>Итого рабочих дней</t>
        </is>
      </c>
      <c r="J9" s="177">
        <f>J7+J8</f>
        <v/>
      </c>
      <c r="K9" s="170" t="n"/>
    </row>
    <row r="10" ht="15" customHeight="1" s="149">
      <c r="A10" s="223" t="inlineStr">
        <is>
          <t>Кредиты</t>
        </is>
      </c>
      <c r="B10" s="224">
        <f>IF(A10="","",SUMIFS('📋 Транзакции'!G:G,'📋 Транзакции'!B:B,$B$2,'📋 Транзакции'!D:D,A10,'📋 Транзакции'!E:E,"Расход"))</f>
        <v/>
      </c>
      <c r="C10" s="224">
        <f>IF(A10="","",SUMIFS('📋 Транзакции'!J:J,'📋 Транзакции'!B:B,$B$2,'📋 Транзакции'!D:D,A10,'📋 Транзакции'!E:E,"Расход"))</f>
        <v/>
      </c>
      <c r="D10" s="224">
        <f>IF(A10="","",SUMIFS('📋 Транзакции'!K:K,'📋 Транзакции'!B:B,$B$2,'📋 Транзакции'!D:D,A10,'📋 Транзакции'!E:E,"Расход"))</f>
        <v/>
      </c>
      <c r="E10" s="224">
        <f>IF(A10="","",SUMIFS('📋 Транзакции'!G:G,'📋 Транзакции'!B:B,$B$2,'📋 Транзакции'!D:D,A10,'📋 Транзакции'!E:E,"Расход",'📋 Транзакции'!I:I,"Да"))</f>
        <v/>
      </c>
      <c r="F10" s="225">
        <f>IFERROR(B10/B$7,"")</f>
        <v/>
      </c>
      <c r="I10" s="170" t="n"/>
      <c r="J10" s="170" t="n"/>
      <c r="K10" s="170" t="n"/>
    </row>
    <row r="11" ht="15" customHeight="1" s="149">
      <c r="A11" s="226" t="inlineStr">
        <is>
          <t>Ипотека</t>
        </is>
      </c>
      <c r="B11" s="227">
        <f>IF(A11="","",SUMIFS('📋 Транзакции'!G:G,'📋 Транзакции'!B:B,$B$2,'📋 Транзакции'!D:D,A11,'📋 Транзакции'!E:E,"Расход"))</f>
        <v/>
      </c>
      <c r="C11" s="227">
        <f>IF(A11="","",SUMIFS('📋 Транзакции'!J:J,'📋 Транзакции'!B:B,$B$2,'📋 Транзакции'!D:D,A11,'📋 Транзакции'!E:E,"Расход"))</f>
        <v/>
      </c>
      <c r="D11" s="227">
        <f>IF(A11="","",SUMIFS('📋 Транзакции'!K:K,'📋 Транзакции'!B:B,$B$2,'📋 Транзакции'!D:D,A11,'📋 Транзакции'!E:E,"Расход"))</f>
        <v/>
      </c>
      <c r="E11" s="227">
        <f>IF(A11="","",SUMIFS('📋 Транзакции'!G:G,'📋 Транзакции'!B:B,$B$2,'📋 Транзакции'!D:D,A11,'📋 Транзакции'!E:E,"Расход",'📋 Транзакции'!I:I,"Да"))</f>
        <v/>
      </c>
      <c r="F11" s="228">
        <f>IFERROR(B11/B$7,"")</f>
        <v/>
      </c>
      <c r="I11" s="178" t="n"/>
      <c r="J11" s="178" t="inlineStr">
        <is>
          <t>1-я зарплата (аванс)</t>
        </is>
      </c>
      <c r="K11" s="178" t="inlineStr">
        <is>
          <t>2-я зарплата (остаток)</t>
        </is>
      </c>
    </row>
    <row r="12" ht="15" customHeight="1" s="149">
      <c r="A12" s="223" t="inlineStr">
        <is>
          <t>Коммунальные</t>
        </is>
      </c>
      <c r="B12" s="224">
        <f>IF(A12="","",SUMIFS('📋 Транзакции'!G:G,'📋 Транзакции'!B:B,$B$2,'📋 Транзакции'!D:D,A12,'📋 Транзакции'!E:E,"Расход"))</f>
        <v/>
      </c>
      <c r="C12" s="224">
        <f>IF(A12="","",SUMIFS('📋 Транзакции'!J:J,'📋 Транзакции'!B:B,$B$2,'📋 Транзакции'!D:D,A12,'📋 Транзакции'!E:E,"Расход"))</f>
        <v/>
      </c>
      <c r="D12" s="224">
        <f>IF(A12="","",SUMIFS('📋 Транзакции'!K:K,'📋 Транзакции'!B:B,$B$2,'📋 Транзакции'!D:D,A12,'📋 Транзакции'!E:E,"Расход"))</f>
        <v/>
      </c>
      <c r="E12" s="224">
        <f>IF(A12="","",SUMIFS('📋 Транзакции'!G:G,'📋 Транзакции'!B:B,$B$2,'📋 Транзакции'!D:D,A12,'📋 Транзакции'!E:E,"Расход",'📋 Транзакции'!I:I,"Да"))</f>
        <v/>
      </c>
      <c r="F12" s="225">
        <f>IFERROR(B12/B$7,"")</f>
        <v/>
      </c>
      <c r="I12" s="171" t="inlineStr">
        <is>
          <t>User1</t>
        </is>
      </c>
      <c r="J12" s="177">
        <f>IFERROR(ROUND(J4*J7/J9,-2),0)</f>
        <v/>
      </c>
      <c r="K12" s="177">
        <f>IFERROR(ROUND(J4*J8/J9,-2),0)</f>
        <v/>
      </c>
    </row>
    <row r="13" ht="15" customHeight="1" s="149">
      <c r="A13" s="226" t="inlineStr">
        <is>
          <t>Транспорт</t>
        </is>
      </c>
      <c r="B13" s="227">
        <f>IF(A13="","",SUMIFS('📋 Транзакции'!G:G,'📋 Транзакции'!B:B,$B$2,'📋 Транзакции'!D:D,A13,'📋 Транзакции'!E:E,"Расход"))</f>
        <v/>
      </c>
      <c r="C13" s="227">
        <f>IF(A13="","",SUMIFS('📋 Транзакции'!J:J,'📋 Транзакции'!B:B,$B$2,'📋 Транзакции'!D:D,A13,'📋 Транзакции'!E:E,"Расход"))</f>
        <v/>
      </c>
      <c r="D13" s="227">
        <f>IF(A13="","",SUMIFS('📋 Транзакции'!K:K,'📋 Транзакции'!B:B,$B$2,'📋 Транзакции'!D:D,A13,'📋 Транзакции'!E:E,"Расход"))</f>
        <v/>
      </c>
      <c r="E13" s="227">
        <f>IF(A13="","",SUMIFS('📋 Транзакции'!G:G,'📋 Транзакции'!B:B,$B$2,'📋 Транзакции'!D:D,A13,'📋 Транзакции'!E:E,"Расход",'📋 Транзакции'!I:I,"Да"))</f>
        <v/>
      </c>
      <c r="F13" s="228">
        <f>IFERROR(B13/B$7,"")</f>
        <v/>
      </c>
      <c r="I13" s="171" t="inlineStr">
        <is>
          <t>User2</t>
        </is>
      </c>
      <c r="J13" s="177">
        <f>IFERROR(ROUND(J4*J8/J10,-2),0)</f>
        <v/>
      </c>
      <c r="K13" s="177">
        <f>IFERROR(ROUND(K4*K8/K10,-2),0)</f>
        <v/>
      </c>
    </row>
    <row r="14" ht="15" customHeight="1" s="149">
      <c r="A14" s="223" t="inlineStr">
        <is>
          <t>Бензин</t>
        </is>
      </c>
      <c r="B14" s="224">
        <f>IF(A14="","",SUMIFS('📋 Транзакции'!G:G,'📋 Транзакции'!B:B,$B$2,'📋 Транзакции'!D:D,A14,'📋 Транзакции'!E:E,"Расход"))</f>
        <v/>
      </c>
      <c r="C14" s="224">
        <f>IF(A14="","",SUMIFS('📋 Транзакции'!J:J,'📋 Транзакции'!B:B,$B$2,'📋 Транзакции'!D:D,A14,'📋 Транзакции'!E:E,"Расход"))</f>
        <v/>
      </c>
      <c r="D14" s="224">
        <f>IF(A14="","",SUMIFS('📋 Транзакции'!K:K,'📋 Транзакции'!B:B,$B$2,'📋 Транзакции'!D:D,A14,'📋 Транзакции'!E:E,"Расход"))</f>
        <v/>
      </c>
      <c r="E14" s="224">
        <f>IF(A14="","",SUMIFS('📋 Транзакции'!G:G,'📋 Транзакции'!B:B,$B$2,'📋 Транзакции'!D:D,A14,'📋 Транзакции'!E:E,"Расход",'📋 Транзакции'!I:I,"Да"))</f>
        <v/>
      </c>
      <c r="F14" s="225">
        <f>IFERROR(B14/B$7,"")</f>
        <v/>
      </c>
      <c r="I14" s="176" t="inlineStr">
        <is>
          <t>ИТОГО семья</t>
        </is>
      </c>
      <c r="J14" s="179">
        <f>J12+J13</f>
        <v/>
      </c>
      <c r="K14" s="179">
        <f>K12+K13</f>
        <v/>
      </c>
    </row>
    <row r="15" ht="15" customHeight="1" s="149">
      <c r="A15" s="226" t="inlineStr">
        <is>
          <t>Дом</t>
        </is>
      </c>
      <c r="B15" s="227">
        <f>IF(A15="","",SUMIFS('📋 Транзакции'!G:G,'📋 Транзакции'!B:B,$B$2,'📋 Транзакции'!D:D,A15,'📋 Транзакции'!E:E,"Расход"))</f>
        <v/>
      </c>
      <c r="C15" s="227">
        <f>IF(A15="","",SUMIFS('📋 Транзакции'!J:J,'📋 Транзакции'!B:B,$B$2,'📋 Транзакции'!D:D,A15,'📋 Транзакции'!E:E,"Расход"))</f>
        <v/>
      </c>
      <c r="D15" s="227">
        <f>IF(A15="","",SUMIFS('📋 Транзакции'!K:K,'📋 Транзакции'!B:B,$B$2,'📋 Транзакции'!D:D,A15,'📋 Транзакции'!E:E,"Расход"))</f>
        <v/>
      </c>
      <c r="E15" s="227">
        <f>IF(A15="","",SUMIFS('📋 Транзакции'!G:G,'📋 Транзакции'!B:B,$B$2,'📋 Транзакции'!D:D,A15,'📋 Транзакции'!E:E,"Расход",'📋 Транзакции'!I:I,"Да"))</f>
        <v/>
      </c>
      <c r="F15" s="228">
        <f>IFERROR(B15/B$7,"")</f>
        <v/>
      </c>
      <c r="I15" s="180" t="inlineStr">
        <is>
          <t>Проверка (= оклад семьи)</t>
        </is>
      </c>
      <c r="J15" s="174">
        <f>J14+K14</f>
        <v/>
      </c>
      <c r="K15" s="170" t="n"/>
    </row>
    <row r="16" ht="15" customHeight="1" s="149">
      <c r="A16" s="223" t="inlineStr">
        <is>
          <t>Платежи/подписки</t>
        </is>
      </c>
      <c r="B16" s="224">
        <f>IF(A16="","",SUMIFS('📋 Транзакции'!G:G,'📋 Транзакции'!B:B,$B$2,'📋 Транзакции'!D:D,A16,'📋 Транзакции'!E:E,"Расход"))</f>
        <v/>
      </c>
      <c r="C16" s="224">
        <f>IF(A16="","",SUMIFS('📋 Транзакции'!J:J,'📋 Транзакции'!B:B,$B$2,'📋 Транзакции'!D:D,A16,'📋 Транзакции'!E:E,"Расход"))</f>
        <v/>
      </c>
      <c r="D16" s="224">
        <f>IF(A16="","",SUMIFS('📋 Транзакции'!K:K,'📋 Транзакции'!B:B,$B$2,'📋 Транзакции'!D:D,A16,'📋 Транзакции'!E:E,"Расход"))</f>
        <v/>
      </c>
      <c r="E16" s="224">
        <f>IF(A16="","",SUMIFS('📋 Транзакции'!G:G,'📋 Транзакции'!B:B,$B$2,'📋 Транзакции'!D:D,A16,'📋 Транзакции'!E:E,"Расход",'📋 Транзакции'!I:I,"Да"))</f>
        <v/>
      </c>
      <c r="F16" s="225">
        <f>IFERROR(B16/B$7,"")</f>
        <v/>
      </c>
    </row>
    <row r="17" ht="15" customHeight="1" s="149">
      <c r="A17" s="226" t="inlineStr">
        <is>
          <t>User1 личное</t>
        </is>
      </c>
      <c r="B17" s="227">
        <f>IF(A17="","",SUMIFS('📋 Транзакции'!G:G,'📋 Транзакции'!B:B,$B$2,'📋 Транзакции'!D:D,A17,'📋 Транзакции'!E:E,"Расход"))</f>
        <v/>
      </c>
      <c r="C17" s="227">
        <f>IF(A17="","",SUMIFS('📋 Транзакции'!J:J,'📋 Транзакции'!B:B,$B$2,'📋 Транзакции'!D:D,A17,'📋 Транзакции'!E:E,"Расход"))</f>
        <v/>
      </c>
      <c r="D17" s="227">
        <f>IF(A17="","",SUMIFS('📋 Транзакции'!K:K,'📋 Транзакции'!B:B,$B$2,'📋 Транзакции'!D:D,A17,'📋 Транзакции'!E:E,"Расход"))</f>
        <v/>
      </c>
      <c r="E17" s="227">
        <f>IF(A17="","",SUMIFS('📋 Транзакции'!G:G,'📋 Транзакции'!B:B,$B$2,'📋 Транзакции'!D:D,A17,'📋 Транзакции'!E:E,"Расход",'📋 Транзакции'!I:I,"Да"))</f>
        <v/>
      </c>
      <c r="F17" s="228">
        <f>IFERROR(B17/B$7,"")</f>
        <v/>
      </c>
    </row>
    <row r="18" ht="15" customHeight="1" s="149">
      <c r="A18" s="223" t="inlineStr">
        <is>
          <t>User2 личное</t>
        </is>
      </c>
      <c r="B18" s="224">
        <f>IF(A18="","",SUMIFS('📋 Транзакции'!G:G,'📋 Транзакции'!B:B,$B$2,'📋 Транзакции'!D:D,A18,'📋 Транзакции'!E:E,"Расход"))</f>
        <v/>
      </c>
      <c r="C18" s="224">
        <f>IF(A18="","",SUMIFS('📋 Транзакции'!J:J,'📋 Транзакции'!B:B,$B$2,'📋 Транзакции'!D:D,A18,'📋 Транзакции'!E:E,"Расход"))</f>
        <v/>
      </c>
      <c r="D18" s="224">
        <f>IF(A18="","",SUMIFS('📋 Транзакции'!K:K,'📋 Транзакции'!B:B,$B$2,'📋 Транзакции'!D:D,A18,'📋 Транзакции'!E:E,"Расход"))</f>
        <v/>
      </c>
      <c r="E18" s="224">
        <f>IF(A18="","",SUMIFS('📋 Транзакции'!G:G,'📋 Транзакции'!B:B,$B$2,'📋 Транзакции'!D:D,A18,'📋 Транзакции'!E:E,"Расход",'📋 Транзакции'!I:I,"Да"))</f>
        <v/>
      </c>
      <c r="F18" s="225">
        <f>IFERROR(B18/B$7,"")</f>
        <v/>
      </c>
    </row>
    <row r="19" ht="15" customHeight="1" s="149">
      <c r="A19" s="226" t="inlineStr">
        <is>
          <t>Развлечения</t>
        </is>
      </c>
      <c r="B19" s="227">
        <f>IF(A19="","",SUMIFS('📋 Транзакции'!G:G,'📋 Транзакции'!B:B,$B$2,'📋 Транзакции'!D:D,A19,'📋 Транзакции'!E:E,"Расход"))</f>
        <v/>
      </c>
      <c r="C19" s="227">
        <f>IF(A19="","",SUMIFS('📋 Транзакции'!J:J,'📋 Транзакции'!B:B,$B$2,'📋 Транзакции'!D:D,A19,'📋 Транзакции'!E:E,"Расход"))</f>
        <v/>
      </c>
      <c r="D19" s="227">
        <f>IF(A19="","",SUMIFS('📋 Транзакции'!K:K,'📋 Транзакции'!B:B,$B$2,'📋 Транзакции'!D:D,A19,'📋 Транзакции'!E:E,"Расход"))</f>
        <v/>
      </c>
      <c r="E19" s="227">
        <f>IF(A19="","",SUMIFS('📋 Транзакции'!G:G,'📋 Транзакции'!B:B,$B$2,'📋 Транзакции'!D:D,A19,'📋 Транзакции'!E:E,"Расход",'📋 Транзакции'!I:I,"Да"))</f>
        <v/>
      </c>
      <c r="F19" s="228">
        <f>IFERROR(B19/B$7,"")</f>
        <v/>
      </c>
    </row>
    <row r="20" ht="15" customHeight="1" s="149">
      <c r="A20" s="223" t="inlineStr">
        <is>
          <t>Подарки</t>
        </is>
      </c>
      <c r="B20" s="224">
        <f>IF(A20="","",SUMIFS('📋 Транзакции'!G:G,'📋 Транзакции'!B:B,$B$2,'📋 Транзакции'!D:D,A20,'📋 Транзакции'!E:E,"Расход"))</f>
        <v/>
      </c>
      <c r="C20" s="224">
        <f>IF(A20="","",SUMIFS('📋 Транзакции'!J:J,'📋 Транзакции'!B:B,$B$2,'📋 Транзакции'!D:D,A20,'📋 Транзакции'!E:E,"Расход"))</f>
        <v/>
      </c>
      <c r="D20" s="224">
        <f>IF(A20="","",SUMIFS('📋 Транзакции'!K:K,'📋 Транзакции'!B:B,$B$2,'📋 Транзакции'!D:D,A20,'📋 Транзакции'!E:E,"Расход"))</f>
        <v/>
      </c>
      <c r="E20" s="224">
        <f>IF(A20="","",SUMIFS('📋 Транзакции'!G:G,'📋 Транзакции'!B:B,$B$2,'📋 Транзакции'!D:D,A20,'📋 Транзакции'!E:E,"Расход",'📋 Транзакции'!I:I,"Да"))</f>
        <v/>
      </c>
      <c r="F20" s="225">
        <f>IFERROR(B20/B$7,"")</f>
        <v/>
      </c>
    </row>
    <row r="21" ht="15" customHeight="1" s="149">
      <c r="A21" s="226" t="inlineStr">
        <is>
          <t>Путешествия</t>
        </is>
      </c>
      <c r="B21" s="227">
        <f>IF(A21="","",SUMIFS('📋 Транзакции'!G:G,'📋 Транзакции'!B:B,$B$2,'📋 Транзакции'!D:D,A21,'📋 Транзакции'!E:E,"Расход"))</f>
        <v/>
      </c>
      <c r="C21" s="227">
        <f>IF(A21="","",SUMIFS('📋 Транзакции'!J:J,'📋 Транзакции'!B:B,$B$2,'📋 Транзакции'!D:D,A21,'📋 Транзакции'!E:E,"Расход"))</f>
        <v/>
      </c>
      <c r="D21" s="227">
        <f>IF(A21="","",SUMIFS('📋 Транзакции'!K:K,'📋 Транзакции'!B:B,$B$2,'📋 Транзакции'!D:D,A21,'📋 Транзакции'!E:E,"Расход"))</f>
        <v/>
      </c>
      <c r="E21" s="227">
        <f>IF(A21="","",SUMIFS('📋 Транзакции'!G:G,'📋 Транзакции'!B:B,$B$2,'📋 Транзакции'!D:D,A21,'📋 Транзакции'!E:E,"Расход",'📋 Транзакции'!I:I,"Да"))</f>
        <v/>
      </c>
      <c r="F21" s="228">
        <f>IFERROR(B21/B$7,"")</f>
        <v/>
      </c>
    </row>
    <row r="22" ht="15" customHeight="1" s="149">
      <c r="A22" s="223" t="inlineStr">
        <is>
          <t>Одежда</t>
        </is>
      </c>
      <c r="B22" s="224">
        <f>IF(A22="","",SUMIFS('📋 Транзакции'!G:G,'📋 Транзакции'!B:B,$B$2,'📋 Транзакции'!D:D,A22,'📋 Транзакции'!E:E,"Расход"))</f>
        <v/>
      </c>
      <c r="C22" s="224">
        <f>IF(A22="","",SUMIFS('📋 Транзакции'!J:J,'📋 Транзакции'!B:B,$B$2,'📋 Транзакции'!D:D,A22,'📋 Транзакции'!E:E,"Расход"))</f>
        <v/>
      </c>
      <c r="D22" s="224">
        <f>IF(A22="","",SUMIFS('📋 Транзакции'!K:K,'📋 Транзакции'!B:B,$B$2,'📋 Транзакции'!D:D,A22,'📋 Транзакции'!E:E,"Расход"))</f>
        <v/>
      </c>
      <c r="E22" s="224">
        <f>IF(A22="","",SUMIFS('📋 Транзакции'!G:G,'📋 Транзакции'!B:B,$B$2,'📋 Транзакции'!D:D,A22,'📋 Транзакции'!E:E,"Расход",'📋 Транзакции'!I:I,"Да"))</f>
        <v/>
      </c>
      <c r="F22" s="225">
        <f>IFERROR(B22/B$7,"")</f>
        <v/>
      </c>
    </row>
    <row r="23" ht="15" customHeight="1" s="149">
      <c r="A23" s="226" t="n"/>
      <c r="B23" s="227" t="n"/>
      <c r="C23" s="227" t="n"/>
      <c r="D23" s="227" t="n"/>
      <c r="E23" s="227" t="n"/>
      <c r="F23" s="225">
        <f>IFERROR(B23/B$7,"")</f>
        <v/>
      </c>
    </row>
    <row r="24" ht="15" customHeight="1" s="149">
      <c r="A24" s="166" t="n"/>
      <c r="B24" s="224">
        <f>IF(A24="","",SUMIFS('📋 Транзакции'!G:G,'📋 Транзакции'!B:B,$B$2,'📋 Транзакции'!D:D,A24,'📋 Транзакции'!E:E,"Расход"))</f>
        <v/>
      </c>
      <c r="C24" s="224">
        <f>IF(A24="","",SUMIFS('📋 Транзакции'!J:J,'📋 Транзакции'!B:B,$B$2,'📋 Транзакции'!D:D,A24,'📋 Транзакции'!E:E,"Расход"))</f>
        <v/>
      </c>
      <c r="D24" s="224">
        <f>IF(A24="","",SUMIFS('📋 Транзакции'!K:K,'📋 Транзакции'!B:B,$B$2,'📋 Транзакции'!D:D,A24,'📋 Транзакции'!E:E,"Расход"))</f>
        <v/>
      </c>
      <c r="E24" s="224">
        <f>IF(A24="","",SUMIFS('📋 Транзакции'!G:G,'📋 Транзакции'!B:B,$B$2,'📋 Транзакции'!D:D,A24,'📋 Транзакции'!E:E,"Расход",'📋 Транзакции'!I:I,"Да"))</f>
        <v/>
      </c>
      <c r="F24" s="225">
        <f>IFERROR(B24/B$7,"")</f>
        <v/>
      </c>
    </row>
    <row r="25" ht="15" customHeight="1" s="149">
      <c r="A25" s="168" t="n"/>
      <c r="B25" s="227">
        <f>IF(A25="","",SUMIFS('📋 Транзакции'!G:G,'📋 Транзакции'!B:B,$B$2,'📋 Транзакции'!D:D,A25,'📋 Транзакции'!E:E,"Расход"))</f>
        <v/>
      </c>
      <c r="C25" s="227">
        <f>IF(A25="","",SUMIFS('📋 Транзакции'!J:J,'📋 Транзакции'!B:B,$B$2,'📋 Транзакции'!D:D,A25,'📋 Транзакции'!E:E,"Расход"))</f>
        <v/>
      </c>
      <c r="D25" s="227">
        <f>IF(A25="","",SUMIFS('📋 Транзакции'!K:K,'📋 Транзакции'!B:B,$B$2,'📋 Транзакции'!D:D,A25,'📋 Транзакции'!E:E,"Расход"))</f>
        <v/>
      </c>
      <c r="E25" s="227">
        <f>IF(A25="","",SUMIFS('📋 Транзакции'!G:G,'📋 Транзакции'!B:B,$B$2,'📋 Транзакции'!D:D,A25,'📋 Транзакции'!E:E,"Расход",'📋 Транзакции'!I:I,"Да"))</f>
        <v/>
      </c>
      <c r="F25" s="225">
        <f>IFERROR(B25/B$7,"")</f>
        <v/>
      </c>
    </row>
    <row r="26" ht="15" customHeight="1" s="149">
      <c r="A26" s="166" t="n"/>
      <c r="B26" s="224">
        <f>IF(A26="","",SUMIFS('📋 Транзакции'!G:G,'📋 Транзакции'!B:B,$B$2,'📋 Транзакции'!D:D,A26,'📋 Транзакции'!E:E,"Расход"))</f>
        <v/>
      </c>
      <c r="C26" s="224">
        <f>IF(A26="","",SUMIFS('📋 Транзакции'!J:J,'📋 Транзакции'!B:B,$B$2,'📋 Транзакции'!D:D,A26,'📋 Транзакции'!E:E,"Расход"))</f>
        <v/>
      </c>
      <c r="D26" s="224">
        <f>IF(A26="","",SUMIFS('📋 Транзакции'!K:K,'📋 Транзакции'!B:B,$B$2,'📋 Транзакции'!D:D,A26,'📋 Транзакции'!E:E,"Расход"))</f>
        <v/>
      </c>
      <c r="E26" s="224">
        <f>IF(A26="","",SUMIFS('📋 Транзакции'!G:G,'📋 Транзакции'!B:B,$B$2,'📋 Транзакции'!D:D,A26,'📋 Транзакции'!E:E,"Расход",'📋 Транзакции'!I:I,"Да"))</f>
        <v/>
      </c>
      <c r="F26" s="225">
        <f>IFERROR(B26/B$7,"")</f>
        <v/>
      </c>
    </row>
    <row r="27" ht="15" customHeight="1" s="149">
      <c r="A27" s="168" t="n"/>
      <c r="B27" s="227">
        <f>IF(A27="","",SUMIFS('📋 Транзакции'!G:G,'📋 Транзакции'!B:B,$B$2,'📋 Транзакции'!D:D,A27,'📋 Транзакции'!E:E,"Расход"))</f>
        <v/>
      </c>
      <c r="C27" s="227">
        <f>IF(A27="","",SUMIFS('📋 Транзакции'!J:J,'📋 Транзакции'!B:B,$B$2,'📋 Транзакции'!D:D,A27,'📋 Транзакции'!E:E,"Расход"))</f>
        <v/>
      </c>
      <c r="D27" s="227">
        <f>IF(A27="","",SUMIFS('📋 Транзакции'!K:K,'📋 Транзакции'!B:B,$B$2,'📋 Транзакции'!D:D,A27,'📋 Транзакции'!E:E,"Расход"))</f>
        <v/>
      </c>
      <c r="E27" s="227">
        <f>IF(A27="","",SUMIFS('📋 Транзакции'!G:G,'📋 Транзакции'!B:B,$B$2,'📋 Транзакции'!D:D,A27,'📋 Транзакции'!E:E,"Расход",'📋 Транзакции'!I:I,"Да"))</f>
        <v/>
      </c>
      <c r="F27" s="225">
        <f>IFERROR(B27/B$7,"")</f>
        <v/>
      </c>
    </row>
    <row r="28" ht="15" customHeight="1" s="149">
      <c r="A28" s="166" t="n"/>
      <c r="B28" s="224">
        <f>IF(A28="","",SUMIFS('📋 Транзакции'!G:G,'📋 Транзакции'!B:B,$B$2,'📋 Транзакции'!D:D,A28,'📋 Транзакции'!E:E,"Расход"))</f>
        <v/>
      </c>
      <c r="C28" s="224">
        <f>IF(A28="","",SUMIFS('📋 Транзакции'!J:J,'📋 Транзакции'!B:B,$B$2,'📋 Транзакции'!D:D,A28,'📋 Транзакции'!E:E,"Расход"))</f>
        <v/>
      </c>
      <c r="D28" s="224">
        <f>IF(A28="","",SUMIFS('📋 Транзакции'!K:K,'📋 Транзакции'!B:B,$B$2,'📋 Транзакции'!D:D,A28,'📋 Транзакции'!E:E,"Расход"))</f>
        <v/>
      </c>
      <c r="E28" s="224">
        <f>IF(A28="","",SUMIFS('📋 Транзакции'!G:G,'📋 Транзакции'!B:B,$B$2,'📋 Транзакции'!D:D,A28,'📋 Транзакции'!E:E,"Расход",'📋 Транзакции'!I:I,"Да"))</f>
        <v/>
      </c>
      <c r="F28" s="225">
        <f>IFERROR(B28/B$7,"")</f>
        <v/>
      </c>
    </row>
    <row r="29" ht="15" customHeight="1" s="149">
      <c r="A29" s="168" t="n"/>
      <c r="B29" s="227">
        <f>IF(A29="","",SUMIFS('📋 Транзакции'!G:G,'📋 Транзакции'!B:B,$B$2,'📋 Транзакции'!D:D,A29,'📋 Транзакции'!E:E,"Расход"))</f>
        <v/>
      </c>
      <c r="C29" s="227">
        <f>IF(A29="","",SUMIFS('📋 Транзакции'!J:J,'📋 Транзакции'!B:B,$B$2,'📋 Транзакции'!D:D,A29,'📋 Транзакции'!E:E,"Расход"))</f>
        <v/>
      </c>
      <c r="D29" s="227">
        <f>IF(A29="","",SUMIFS('📋 Транзакции'!K:K,'📋 Транзакции'!B:B,$B$2,'📋 Транзакции'!D:D,A29,'📋 Транзакции'!E:E,"Расход"))</f>
        <v/>
      </c>
      <c r="E29" s="227">
        <f>IF(A29="","",SUMIFS('📋 Транзакции'!G:G,'📋 Транзакции'!B:B,$B$2,'📋 Транзакции'!D:D,A29,'📋 Транзакции'!E:E,"Расход",'📋 Транзакции'!I:I,"Да"))</f>
        <v/>
      </c>
      <c r="F29" s="225">
        <f>IFERROR(B29/B$7,"")</f>
        <v/>
      </c>
    </row>
    <row r="30" ht="15" customHeight="1" s="149">
      <c r="A30" s="166" t="n"/>
      <c r="B30" s="224">
        <f>IF(A30="","",SUMIFS('📋 Транзакции'!G:G,'📋 Транзакции'!B:B,$B$2,'📋 Транзакции'!D:D,A30,'📋 Транзакции'!E:E,"Расход"))</f>
        <v/>
      </c>
      <c r="C30" s="224">
        <f>IF(A30="","",SUMIFS('📋 Транзакции'!J:J,'📋 Транзакции'!B:B,$B$2,'📋 Транзакции'!D:D,A30,'📋 Транзакции'!E:E,"Расход"))</f>
        <v/>
      </c>
      <c r="D30" s="224">
        <f>IF(A30="","",SUMIFS('📋 Транзакции'!K:K,'📋 Транзакции'!B:B,$B$2,'📋 Транзакции'!D:D,A30,'📋 Транзакции'!E:E,"Расход"))</f>
        <v/>
      </c>
      <c r="E30" s="224">
        <f>IF(A30="","",SUMIFS('📋 Транзакции'!G:G,'📋 Транзакции'!B:B,$B$2,'📋 Транзакции'!D:D,A30,'📋 Транзакции'!E:E,"Расход",'📋 Транзакции'!I:I,"Да"))</f>
        <v/>
      </c>
      <c r="F30" s="225">
        <f>IFERROR(B30/B$7,"")</f>
        <v/>
      </c>
    </row>
    <row r="31" ht="15" customHeight="1" s="149">
      <c r="A31" s="168" t="n"/>
      <c r="B31" s="227">
        <f>IF(A31="","",SUMIFS('📋 Транзакции'!G:G,'📋 Транзакции'!B:B,$B$2,'📋 Транзакции'!D:D,A31,'📋 Транзакции'!E:E,"Расход"))</f>
        <v/>
      </c>
      <c r="C31" s="227">
        <f>IF(A31="","",SUMIFS('📋 Транзакции'!J:J,'📋 Транзакции'!B:B,$B$2,'📋 Транзакции'!D:D,A31,'📋 Транзакции'!E:E,"Расход"))</f>
        <v/>
      </c>
      <c r="D31" s="227">
        <f>IF(A31="","",SUMIFS('📋 Транзакции'!K:K,'📋 Транзакции'!B:B,$B$2,'📋 Транзакции'!D:D,A31,'📋 Транзакции'!E:E,"Расход"))</f>
        <v/>
      </c>
      <c r="E31" s="227">
        <f>IF(A31="","",SUMIFS('📋 Транзакции'!G:G,'📋 Транзакции'!B:B,$B$2,'📋 Транзакции'!D:D,A31,'📋 Транзакции'!E:E,"Расход",'📋 Транзакции'!I:I,"Да"))</f>
        <v/>
      </c>
      <c r="F31" s="225">
        <f>IFERROR(B31/B$7,"")</f>
        <v/>
      </c>
    </row>
    <row r="32" ht="15" customHeight="1" s="149">
      <c r="A32" s="166" t="n"/>
      <c r="B32" s="224">
        <f>IF(A32="","",SUMIFS('📋 Транзакции'!G:G,'📋 Транзакции'!B:B,$B$2,'📋 Транзакции'!D:D,A32,'📋 Транзакции'!E:E,"Расход"))</f>
        <v/>
      </c>
      <c r="C32" s="224">
        <f>IF(A32="","",SUMIFS('📋 Транзакции'!J:J,'📋 Транзакции'!B:B,$B$2,'📋 Транзакции'!D:D,A32,'📋 Транзакции'!E:E,"Расход"))</f>
        <v/>
      </c>
      <c r="D32" s="224">
        <f>IF(A32="","",SUMIFS('📋 Транзакции'!K:K,'📋 Транзакции'!B:B,$B$2,'📋 Транзакции'!D:D,A32,'📋 Транзакции'!E:E,"Расход"))</f>
        <v/>
      </c>
      <c r="E32" s="224">
        <f>IF(A32="","",SUMIFS('📋 Транзакции'!G:G,'📋 Транзакции'!B:B,$B$2,'📋 Транзакции'!D:D,A32,'📋 Транзакции'!E:E,"Расход",'📋 Транзакции'!I:I,"Да"))</f>
        <v/>
      </c>
      <c r="F32" s="225">
        <f>IFERROR(B32/B$7,"")</f>
        <v/>
      </c>
    </row>
    <row r="33" ht="15" customHeight="1" s="149">
      <c r="A33" s="168" t="n"/>
      <c r="B33" s="227">
        <f>IF(A33="","",SUMIFS('📋 Транзакции'!G:G,'📋 Транзакции'!B:B,$B$2,'📋 Транзакции'!D:D,A33,'📋 Транзакции'!E:E,"Расход"))</f>
        <v/>
      </c>
      <c r="C33" s="227">
        <f>IF(A33="","",SUMIFS('📋 Транзакции'!J:J,'📋 Транзакции'!B:B,$B$2,'📋 Транзакции'!D:D,A33,'📋 Транзакции'!E:E,"Расход"))</f>
        <v/>
      </c>
      <c r="D33" s="227">
        <f>IF(A33="","",SUMIFS('📋 Транзакции'!K:K,'📋 Транзакции'!B:B,$B$2,'📋 Транзакции'!D:D,A33,'📋 Транзакции'!E:E,"Расход"))</f>
        <v/>
      </c>
      <c r="E33" s="227">
        <f>IF(A33="","",SUMIFS('📋 Транзакции'!G:G,'📋 Транзакции'!B:B,$B$2,'📋 Транзакции'!D:D,A33,'📋 Транзакции'!E:E,"Расход",'📋 Транзакции'!I:I,"Да"))</f>
        <v/>
      </c>
      <c r="F33" s="225">
        <f>IFERROR(B33/B$7,"")</f>
        <v/>
      </c>
    </row>
    <row r="34" ht="3.75" customHeight="1" s="149">
      <c r="A34" s="166" t="n"/>
      <c r="B34" s="224">
        <f>IF(A34="","",SUMIFS('📋 Транзакции'!G:G,'📋 Транзакции'!B:B,$B$2,'📋 Транзакции'!D:D,A34,'📋 Транзакции'!E:E,"Расход"))</f>
        <v/>
      </c>
      <c r="C34" s="224">
        <f>IF(A34="","",SUMIFS('📋 Транзакции'!J:J,'📋 Транзакции'!B:B,$B$2,'📋 Транзакции'!D:D,A34,'📋 Транзакции'!E:E,"Расход"))</f>
        <v/>
      </c>
      <c r="D34" s="224">
        <f>IF(A34="","",SUMIFS('📋 Транзакции'!K:K,'📋 Транзакции'!B:B,$B$2,'📋 Транзакции'!D:D,A34,'📋 Транзакции'!E:E,"Расход"))</f>
        <v/>
      </c>
      <c r="E34" s="224">
        <f>IF(A34="","",SUMIFS('📋 Транзакции'!G:G,'📋 Транзакции'!B:B,$B$2,'📋 Транзакции'!D:D,A34,'📋 Транзакции'!E:E,"Расход",'📋 Транзакции'!I:I,"Да"))</f>
        <v/>
      </c>
      <c r="F34" s="225">
        <f>IFERROR(B34/B$7,"")</f>
        <v/>
      </c>
    </row>
    <row r="35" ht="24" customHeight="1" s="149">
      <c r="A35" s="229" t="inlineStr">
        <is>
          <t>ИТОГО РАСХОДЫ</t>
        </is>
      </c>
      <c r="B35" s="230">
        <f>SUM(B10:B34)</f>
        <v/>
      </c>
      <c r="C35" s="230">
        <f>SUM(C10:C34)</f>
        <v/>
      </c>
      <c r="D35" s="230">
        <f>SUM(D10:D34)</f>
        <v/>
      </c>
      <c r="E35" s="230">
        <f>SUM(E10:E34)</f>
        <v/>
      </c>
      <c r="F35" s="231">
        <f>IFERROR(SUM(B10:B34)/B7,0)</f>
        <v/>
      </c>
    </row>
    <row r="36" ht="7.5" customHeight="1" s="149"/>
    <row r="37" ht="27.75" customHeight="1" s="149">
      <c r="A37" s="211" t="inlineStr">
        <is>
          <t>📈  ИТОГИ МЕСЯЦА</t>
        </is>
      </c>
      <c r="B37" s="152" t="n"/>
      <c r="C37" s="152" t="n"/>
      <c r="D37" s="152" t="n"/>
      <c r="E37" s="152" t="n"/>
      <c r="F37" s="153" t="n"/>
    </row>
    <row r="38" ht="19.5" customHeight="1" s="149">
      <c r="A38" s="221" t="inlineStr">
        <is>
          <t>Доходы</t>
        </is>
      </c>
      <c r="B38" s="232">
        <f>B7</f>
        <v/>
      </c>
      <c r="C38" s="221" t="n"/>
      <c r="D38" s="152" t="n"/>
      <c r="E38" s="152" t="n"/>
      <c r="F38" s="153" t="n"/>
    </row>
    <row r="39" ht="19.5" customHeight="1" s="149">
      <c r="A39" s="233" t="inlineStr">
        <is>
          <t>Расходы</t>
        </is>
      </c>
      <c r="B39" s="234">
        <f>B35</f>
        <v/>
      </c>
      <c r="C39" s="233" t="n"/>
      <c r="D39" s="152" t="n"/>
      <c r="E39" s="152" t="n"/>
      <c r="F39" s="153" t="n"/>
    </row>
    <row r="40" ht="19.5" customHeight="1" s="149">
      <c r="A40" s="235" t="inlineStr">
        <is>
          <t>Остаток</t>
        </is>
      </c>
      <c r="B40" s="236">
        <f>B38-B39</f>
        <v/>
      </c>
      <c r="C40" s="237" t="n"/>
      <c r="D40" s="152" t="n"/>
      <c r="E40" s="152" t="n"/>
      <c r="F40" s="153" t="n"/>
    </row>
    <row r="41" ht="19.5" customHeight="1" s="149">
      <c r="A41" s="216" t="inlineStr">
        <is>
          <t>Обязательные расходы</t>
        </is>
      </c>
      <c r="B41" s="238">
        <f>E35</f>
        <v/>
      </c>
      <c r="C41" s="216" t="n"/>
      <c r="D41" s="152" t="n"/>
      <c r="E41" s="152" t="n"/>
      <c r="F41" s="153" t="n"/>
    </row>
    <row r="42" ht="19.5" customHeight="1" s="149">
      <c r="A42" s="239" t="inlineStr">
        <is>
          <t>Рекомендую отложить (20%)</t>
        </is>
      </c>
      <c r="B42" s="162">
        <f>B40*'⚙️ Настройки'!B19</f>
        <v/>
      </c>
      <c r="C42" s="240" t="n"/>
      <c r="D42" s="152" t="n"/>
      <c r="E42" s="152" t="n"/>
      <c r="F42" s="153" t="n"/>
    </row>
    <row r="43" ht="19.5" customHeight="1" s="149">
      <c r="A43" s="219" t="inlineStr">
        <is>
          <t>На жизнь остаток</t>
        </is>
      </c>
      <c r="B43" s="220">
        <f>B40-B42</f>
        <v/>
      </c>
      <c r="C43" s="221" t="n"/>
      <c r="D43" s="152" t="n"/>
      <c r="E43" s="152" t="n"/>
      <c r="F43" s="153" t="n"/>
    </row>
    <row r="44" ht="19.5" customHeight="1" s="149">
      <c r="A44" s="216" t="inlineStr">
        <is>
          <t>Обязат. % от дохода</t>
        </is>
      </c>
      <c r="B44" s="241">
        <f>IFERROR(E35/B7,0)</f>
        <v/>
      </c>
      <c r="C44" s="216" t="n"/>
      <c r="D44" s="152" t="n"/>
      <c r="E44" s="152" t="n"/>
      <c r="F44" s="153" t="n"/>
    </row>
    <row r="45" ht="15.75" customHeight="1" s="149"/>
    <row r="46" ht="15.75" customHeight="1" s="149"/>
    <row r="47" ht="36" customHeight="1" s="149">
      <c r="A47" s="242" t="inlineStr">
        <is>
          <t>💡  Категории строк A10:A34 заполняются автоматически из Транзакций (UNIQUE+FILTER). Добавил новую категорию в транзакцию → она появится здесь сама. Меняй только ячейку B2 (месяц).</t>
        </is>
      </c>
      <c r="B47" s="152" t="n"/>
      <c r="C47" s="152" t="n"/>
      <c r="D47" s="152" t="n"/>
      <c r="E47" s="152" t="n"/>
      <c r="F47" s="153" t="n"/>
    </row>
    <row r="48" ht="15.75" customHeight="1" s="149"/>
    <row r="49" ht="15.75" customHeight="1" s="149"/>
    <row r="50" ht="15.75" customHeight="1" s="149"/>
    <row r="51" ht="15.75" customHeight="1" s="149"/>
    <row r="52" ht="15.75" customHeight="1" s="149"/>
    <row r="53" ht="15.75" customHeight="1" s="149"/>
    <row r="54" ht="15.75" customHeight="1" s="149"/>
    <row r="55" ht="15.75" customHeight="1" s="149"/>
    <row r="56" ht="15.75" customHeight="1" s="149"/>
    <row r="57" ht="15.75" customHeight="1" s="149"/>
    <row r="58" ht="15.75" customHeight="1" s="149"/>
    <row r="59" ht="15.75" customHeight="1" s="149"/>
    <row r="60" ht="15.75" customHeight="1" s="149"/>
    <row r="61" ht="15.75" customHeight="1" s="149"/>
    <row r="62" ht="15.75" customHeight="1" s="149"/>
    <row r="63" ht="15.75" customHeight="1" s="149"/>
    <row r="64" ht="15.75" customHeight="1" s="149"/>
    <row r="65" ht="15.75" customHeight="1" s="149"/>
    <row r="66" ht="15.75" customHeight="1" s="149"/>
    <row r="67" ht="15.75" customHeight="1" s="149"/>
    <row r="68" ht="15.75" customHeight="1" s="149"/>
    <row r="69" ht="15.75" customHeight="1" s="149"/>
    <row r="70" ht="15.75" customHeight="1" s="149"/>
    <row r="71" ht="15.75" customHeight="1" s="149"/>
    <row r="72" ht="15.75" customHeight="1" s="149"/>
    <row r="73" ht="15.75" customHeight="1" s="149"/>
    <row r="74" ht="15.75" customHeight="1" s="149"/>
    <row r="75" ht="15.75" customHeight="1" s="149"/>
    <row r="76" ht="15.75" customHeight="1" s="149"/>
    <row r="77" ht="15.75" customHeight="1" s="149"/>
    <row r="78" ht="15.75" customHeight="1" s="149"/>
    <row r="79" ht="15.75" customHeight="1" s="149"/>
    <row r="80" ht="15.75" customHeight="1" s="149"/>
    <row r="81" ht="15.75" customHeight="1" s="149"/>
    <row r="82" ht="15.75" customHeight="1" s="149"/>
    <row r="83" ht="15.75" customHeight="1" s="149"/>
    <row r="84" ht="15.75" customHeight="1" s="149"/>
    <row r="85" ht="15.75" customHeight="1" s="149"/>
    <row r="86" ht="15.75" customHeight="1" s="149"/>
    <row r="87" ht="15.75" customHeight="1" s="149"/>
    <row r="88" ht="15.75" customHeight="1" s="149"/>
    <row r="89" ht="15.75" customHeight="1" s="149"/>
    <row r="90" ht="15.75" customHeight="1" s="149"/>
    <row r="91" ht="15.75" customHeight="1" s="149"/>
    <row r="92" ht="15.75" customHeight="1" s="149"/>
    <row r="93" ht="15.75" customHeight="1" s="149"/>
    <row r="94" ht="15.75" customHeight="1" s="149"/>
    <row r="95" ht="15.75" customHeight="1" s="149"/>
    <row r="96" ht="15.75" customHeight="1" s="149"/>
    <row r="97" ht="15.75" customHeight="1" s="149"/>
    <row r="98" ht="15.75" customHeight="1" s="149"/>
    <row r="99" ht="15.75" customHeight="1" s="149"/>
    <row r="100" ht="15.75" customHeight="1" s="149"/>
    <row r="101" ht="15.75" customHeight="1" s="149"/>
    <row r="102" ht="15.75" customHeight="1" s="149"/>
    <row r="103" ht="15.75" customHeight="1" s="149"/>
    <row r="104" ht="15.75" customHeight="1" s="149"/>
    <row r="105" ht="15.75" customHeight="1" s="149"/>
    <row r="106" ht="15.75" customHeight="1" s="149"/>
    <row r="107" ht="15.75" customHeight="1" s="149"/>
    <row r="108" ht="15.75" customHeight="1" s="149"/>
    <row r="109" ht="15.75" customHeight="1" s="149"/>
    <row r="110" ht="15.75" customHeight="1" s="149"/>
    <row r="111" ht="15.75" customHeight="1" s="149"/>
    <row r="112" ht="15.75" customHeight="1" s="149"/>
    <row r="113" ht="15.75" customHeight="1" s="149"/>
    <row r="114" ht="15.75" customHeight="1" s="149"/>
    <row r="115" ht="15.75" customHeight="1" s="149"/>
    <row r="116" ht="15.75" customHeight="1" s="149"/>
    <row r="117" ht="15.75" customHeight="1" s="149"/>
    <row r="118" ht="15.75" customHeight="1" s="149"/>
    <row r="119" ht="15.75" customHeight="1" s="149"/>
    <row r="120" ht="15.75" customHeight="1" s="149"/>
    <row r="121" ht="15.75" customHeight="1" s="149"/>
    <row r="122" ht="15.75" customHeight="1" s="149"/>
    <row r="123" ht="15.75" customHeight="1" s="149"/>
    <row r="124" ht="15.75" customHeight="1" s="149"/>
    <row r="125" ht="15.75" customHeight="1" s="149"/>
    <row r="126" ht="15.75" customHeight="1" s="149"/>
    <row r="127" ht="15.75" customHeight="1" s="149"/>
    <row r="128" ht="15.75" customHeight="1" s="149"/>
    <row r="129" ht="15.75" customHeight="1" s="149"/>
    <row r="130" ht="15.75" customHeight="1" s="149"/>
    <row r="131" ht="15.75" customHeight="1" s="149"/>
    <row r="132" ht="15.75" customHeight="1" s="149"/>
    <row r="133" ht="15.75" customHeight="1" s="149"/>
    <row r="134" ht="15.75" customHeight="1" s="149"/>
    <row r="135" ht="15.75" customHeight="1" s="149"/>
    <row r="136" ht="15.75" customHeight="1" s="149"/>
    <row r="137" ht="15.75" customHeight="1" s="149"/>
    <row r="138" ht="15.75" customHeight="1" s="149"/>
    <row r="139" ht="15.75" customHeight="1" s="149"/>
    <row r="140" ht="15.75" customHeight="1" s="149"/>
    <row r="141" ht="15.75" customHeight="1" s="149"/>
    <row r="142" ht="15.75" customHeight="1" s="149"/>
    <row r="143" ht="15.75" customHeight="1" s="149"/>
    <row r="144" ht="15.75" customHeight="1" s="149"/>
    <row r="145" ht="15.75" customHeight="1" s="149"/>
    <row r="146" ht="15.75" customHeight="1" s="149"/>
    <row r="147" ht="15.75" customHeight="1" s="149"/>
    <row r="148" ht="15.75" customHeight="1" s="149"/>
    <row r="149" ht="15.75" customHeight="1" s="149"/>
    <row r="150" ht="15.75" customHeight="1" s="149"/>
    <row r="151" ht="15.75" customHeight="1" s="149"/>
    <row r="152" ht="15.75" customHeight="1" s="149"/>
    <row r="153" ht="15.75" customHeight="1" s="149"/>
    <row r="154" ht="15.75" customHeight="1" s="149"/>
    <row r="155" ht="15.75" customHeight="1" s="149"/>
    <row r="156" ht="15.75" customHeight="1" s="149"/>
    <row r="157" ht="15.75" customHeight="1" s="149"/>
    <row r="158" ht="15.75" customHeight="1" s="149"/>
    <row r="159" ht="15.75" customHeight="1" s="149"/>
    <row r="160" ht="15.75" customHeight="1" s="149"/>
    <row r="161" ht="15.75" customHeight="1" s="149"/>
    <row r="162" ht="15.75" customHeight="1" s="149"/>
    <row r="163" ht="15.75" customHeight="1" s="149"/>
    <row r="164" ht="15.75" customHeight="1" s="149"/>
    <row r="165" ht="15.75" customHeight="1" s="149"/>
    <row r="166" ht="15.75" customHeight="1" s="149"/>
    <row r="167" ht="15.75" customHeight="1" s="149"/>
    <row r="168" ht="15.75" customHeight="1" s="149"/>
    <row r="169" ht="15.75" customHeight="1" s="149"/>
    <row r="170" ht="15.75" customHeight="1" s="149"/>
    <row r="171" ht="15.75" customHeight="1" s="149"/>
    <row r="172" ht="15.75" customHeight="1" s="149"/>
    <row r="173" ht="15.75" customHeight="1" s="149"/>
    <row r="174" ht="15.75" customHeight="1" s="149"/>
    <row r="175" ht="15.75" customHeight="1" s="149"/>
    <row r="176" ht="15.75" customHeight="1" s="149"/>
    <row r="177" ht="15.75" customHeight="1" s="149"/>
    <row r="178" ht="15.75" customHeight="1" s="149"/>
    <row r="179" ht="15.75" customHeight="1" s="149"/>
    <row r="180" ht="15.75" customHeight="1" s="149"/>
    <row r="181" ht="15.75" customHeight="1" s="149"/>
    <row r="182" ht="15.75" customHeight="1" s="149"/>
    <row r="183" ht="15.75" customHeight="1" s="149"/>
    <row r="184" ht="15.75" customHeight="1" s="149"/>
    <row r="185" ht="15.75" customHeight="1" s="149"/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15">
    <mergeCell ref="C40:F40"/>
    <mergeCell ref="C5:F5"/>
    <mergeCell ref="A47:F47"/>
    <mergeCell ref="C39:F39"/>
    <mergeCell ref="A1:F1"/>
    <mergeCell ref="A37:F37"/>
    <mergeCell ref="C43:F43"/>
    <mergeCell ref="C6:F6"/>
    <mergeCell ref="C7:F7"/>
    <mergeCell ref="C38:F38"/>
    <mergeCell ref="C2:F2"/>
    <mergeCell ref="A4:F4"/>
    <mergeCell ref="C41:F41"/>
    <mergeCell ref="C42:F42"/>
    <mergeCell ref="C44:F4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9" activeCellId="0" sqref="B29"/>
    </sheetView>
  </sheetViews>
  <sheetFormatPr baseColWidth="8" defaultColWidth="14.42578125" defaultRowHeight="15" zeroHeight="0" outlineLevelRow="0"/>
  <cols>
    <col width="32" customWidth="1" style="190" min="1" max="1"/>
    <col width="13.59" customWidth="1" style="190" min="2" max="2"/>
    <col width="16" customWidth="1" style="190" min="3" max="3"/>
    <col width="10" customWidth="1" style="190" min="4" max="5"/>
    <col width="22" customWidth="1" style="190" min="6" max="6"/>
    <col width="12" customWidth="1" style="190" min="7" max="7"/>
    <col width="8.710000000000001" customWidth="1" style="148" min="8" max="26"/>
  </cols>
  <sheetData>
    <row r="1" ht="33.75" customHeight="1" s="149">
      <c r="A1" s="243" t="inlineStr">
        <is>
          <t>📅  ОБЯЗАТЕЛЬНЫЕ ПЛАТЕЖИ — КАЖДЫЙ МЕСЯЦ</t>
        </is>
      </c>
      <c r="B1" s="192" t="n"/>
      <c r="C1" s="192" t="n"/>
      <c r="D1" s="192" t="n"/>
      <c r="E1" s="192" t="n"/>
      <c r="F1" s="192" t="n"/>
      <c r="G1" s="193" t="n"/>
    </row>
    <row r="2" ht="25.5" customHeight="1" s="149">
      <c r="A2" s="244" t="inlineStr">
        <is>
          <t>1️⃣  ПЕРВАЯ ЗАРПЛАТА  —  платежи до ~15-го числа</t>
        </is>
      </c>
      <c r="B2" s="192" t="n"/>
      <c r="C2" s="192" t="n"/>
      <c r="D2" s="192" t="n"/>
      <c r="E2" s="192" t="n"/>
      <c r="F2" s="192" t="n"/>
      <c r="G2" s="193" t="n"/>
    </row>
    <row r="3" ht="15" customHeight="1" s="149">
      <c r="A3" s="195" t="inlineStr">
        <is>
          <t>Платёж / назначение</t>
        </is>
      </c>
      <c r="B3" s="195" t="inlineStr">
        <is>
          <t>День</t>
        </is>
      </c>
      <c r="C3" s="195" t="inlineStr">
        <is>
          <t>Сумма, ₽</t>
        </is>
      </c>
      <c r="D3" s="195" t="inlineStr">
        <is>
          <t>Чья</t>
        </is>
      </c>
      <c r="E3" s="195" t="inlineStr">
        <is>
          <t>Обязат.</t>
        </is>
      </c>
      <c r="F3" s="195" t="inlineStr">
        <is>
          <t>Категория</t>
        </is>
      </c>
      <c r="G3" s="195" t="inlineStr">
        <is>
          <t>✅ Статус</t>
        </is>
      </c>
    </row>
    <row r="4" ht="15" customHeight="1" s="149">
      <c r="A4" s="245" t="inlineStr">
        <is>
          <t>Mortgage</t>
        </is>
      </c>
      <c r="B4" s="246" t="n">
        <v>5</v>
      </c>
      <c r="C4" s="247" t="n">
        <v>35000</v>
      </c>
      <c r="D4" s="246" t="inlineStr">
        <is>
          <t>Общее</t>
        </is>
      </c>
      <c r="E4" s="248" t="inlineStr">
        <is>
          <t>Да</t>
        </is>
      </c>
      <c r="F4" s="249" t="inlineStr">
        <is>
          <t>Ипотека</t>
        </is>
      </c>
      <c r="G4" s="250" t="inlineStr">
        <is>
          <t>☐</t>
        </is>
      </c>
    </row>
    <row r="5" ht="15" customHeight="1" s="149">
      <c r="A5" s="251" t="inlineStr">
        <is>
          <t>Internet</t>
        </is>
      </c>
      <c r="B5" s="252" t="n">
        <v>10</v>
      </c>
      <c r="C5" s="253" t="n">
        <v>900</v>
      </c>
      <c r="D5" s="252" t="inlineStr">
        <is>
          <t>Общее</t>
        </is>
      </c>
      <c r="E5" s="254" t="inlineStr">
        <is>
          <t>Да</t>
        </is>
      </c>
      <c r="F5" s="255" t="inlineStr">
        <is>
          <t>Коммунальные</t>
        </is>
      </c>
      <c r="G5" s="250" t="inlineStr">
        <is>
          <t>☐</t>
        </is>
      </c>
    </row>
    <row r="6" ht="15" customHeight="1" s="149">
      <c r="A6" s="245" t="inlineStr">
        <is>
          <t>Groceries reserve</t>
        </is>
      </c>
      <c r="B6" s="246" t="n">
        <v>12</v>
      </c>
      <c r="C6" s="247" t="n">
        <v>18000</v>
      </c>
      <c r="D6" s="246" t="inlineStr">
        <is>
          <t>Общее</t>
        </is>
      </c>
      <c r="E6" s="248" t="inlineStr">
        <is>
          <t>Да</t>
        </is>
      </c>
      <c r="F6" s="249" t="inlineStr">
        <is>
          <t>Еда и продукты</t>
        </is>
      </c>
      <c r="G6" s="250" t="inlineStr">
        <is>
          <t>☐</t>
        </is>
      </c>
    </row>
    <row r="7" ht="15" customHeight="1" s="149">
      <c r="A7" s="251" t="inlineStr">
        <is>
          <t>Fuel reserve</t>
        </is>
      </c>
      <c r="B7" s="252" t="n">
        <v>14</v>
      </c>
      <c r="C7" s="253" t="n">
        <v>6000</v>
      </c>
      <c r="D7" s="252" t="inlineStr">
        <is>
          <t>Общее</t>
        </is>
      </c>
      <c r="E7" s="254" t="inlineStr">
        <is>
          <t>Да</t>
        </is>
      </c>
      <c r="F7" s="255" t="inlineStr">
        <is>
          <t>Бензин</t>
        </is>
      </c>
      <c r="G7" s="250" t="inlineStr">
        <is>
          <t>☐</t>
        </is>
      </c>
    </row>
    <row r="8" ht="15" customHeight="1" s="149">
      <c r="A8" s="245" t="n"/>
      <c r="B8" s="246" t="n"/>
      <c r="C8" s="247" t="n"/>
      <c r="D8" s="246" t="n"/>
      <c r="E8" s="248" t="n"/>
      <c r="F8" s="249" t="n"/>
      <c r="G8" s="250" t="n"/>
    </row>
    <row r="9" ht="15" customHeight="1" s="149">
      <c r="A9" s="251" t="n"/>
      <c r="B9" s="252" t="n"/>
      <c r="C9" s="253" t="n"/>
      <c r="D9" s="252" t="n"/>
      <c r="E9" s="254" t="n"/>
      <c r="F9" s="255" t="n"/>
      <c r="G9" s="250" t="n"/>
    </row>
    <row r="10" ht="15" customHeight="1" s="149">
      <c r="A10" s="245" t="n"/>
      <c r="B10" s="246" t="n"/>
      <c r="C10" s="247" t="n"/>
      <c r="D10" s="246" t="n"/>
      <c r="E10" s="248" t="n"/>
      <c r="F10" s="249" t="n"/>
      <c r="G10" s="250" t="n"/>
    </row>
    <row r="11" ht="15" customHeight="1" s="149">
      <c r="A11" s="251" t="n"/>
      <c r="B11" s="252" t="n"/>
      <c r="C11" s="253" t="n"/>
      <c r="D11" s="252" t="n"/>
      <c r="E11" s="254" t="n"/>
      <c r="F11" s="255" t="n"/>
      <c r="G11" s="250" t="n"/>
    </row>
    <row r="12" ht="15" customHeight="1" s="149">
      <c r="A12" s="245" t="n"/>
      <c r="B12" s="246" t="n"/>
      <c r="C12" s="247" t="n"/>
      <c r="D12" s="246" t="n"/>
      <c r="E12" s="248" t="n"/>
      <c r="F12" s="249" t="n"/>
      <c r="G12" s="250" t="n"/>
    </row>
    <row r="13" ht="15" customHeight="1" s="149">
      <c r="A13" s="245" t="n"/>
      <c r="B13" s="246" t="n"/>
      <c r="C13" s="247" t="n"/>
      <c r="D13" s="246" t="n"/>
      <c r="E13" s="248" t="n"/>
      <c r="F13" s="249" t="n"/>
      <c r="G13" s="250" t="n"/>
    </row>
    <row r="14" ht="21.75" customHeight="1" s="149">
      <c r="A14" s="251" t="n"/>
      <c r="B14" s="252" t="n"/>
      <c r="C14" s="253" t="n"/>
      <c r="D14" s="252" t="n"/>
      <c r="E14" s="254" t="n"/>
      <c r="F14" s="255" t="n"/>
      <c r="G14" s="250" t="n"/>
    </row>
    <row r="15" ht="28.5" customHeight="1" s="149">
      <c r="A15" s="251" t="n"/>
      <c r="B15" s="252" t="n"/>
      <c r="C15" s="253" t="n"/>
      <c r="D15" s="252" t="n"/>
      <c r="E15" s="254" t="n"/>
      <c r="F15" s="255" t="n"/>
      <c r="G15" s="256" t="n"/>
    </row>
    <row r="16" ht="25.5" customHeight="1" s="149"/>
    <row r="17"/>
    <row r="18" ht="15" customHeight="1" s="149">
      <c r="A18" s="257" t="inlineStr">
        <is>
          <t>ИТОГО 1-я половина</t>
        </is>
      </c>
      <c r="B18" s="258">
        <f>SUM(C4:C17)</f>
        <v/>
      </c>
      <c r="C18" s="259">
        <f>SUM(C4:C17)</f>
        <v/>
      </c>
    </row>
    <row r="19"/>
    <row r="20" ht="15" customHeight="1" s="149">
      <c r="A20" s="260" t="inlineStr">
        <is>
          <t>2️⃣  ВТОРАЯ ЗАРПЛАТА  —  платежи с ~15-го по конец месяца</t>
        </is>
      </c>
    </row>
    <row r="21" ht="15" customHeight="1" s="149">
      <c r="A21" s="195" t="inlineStr">
        <is>
          <t>Платёж / назначение</t>
        </is>
      </c>
      <c r="B21" s="195" t="inlineStr">
        <is>
          <t>День</t>
        </is>
      </c>
      <c r="C21" s="195" t="inlineStr">
        <is>
          <t>Сумма, ₽</t>
        </is>
      </c>
      <c r="D21" s="195" t="inlineStr">
        <is>
          <t>Чья</t>
        </is>
      </c>
      <c r="E21" s="195" t="inlineStr">
        <is>
          <t>Обязат.</t>
        </is>
      </c>
      <c r="F21" s="195" t="inlineStr">
        <is>
          <t>Категория</t>
        </is>
      </c>
      <c r="G21" s="195" t="inlineStr">
        <is>
          <t>✅ Статус</t>
        </is>
      </c>
    </row>
    <row r="22" ht="15" customHeight="1" s="149">
      <c r="A22" s="245" t="inlineStr">
        <is>
          <t>Utilities</t>
        </is>
      </c>
      <c r="B22" s="246" t="n">
        <v>20</v>
      </c>
      <c r="C22" s="247" t="n">
        <v>7500</v>
      </c>
      <c r="D22" s="246" t="inlineStr">
        <is>
          <t>Общее</t>
        </is>
      </c>
      <c r="E22" s="248" t="inlineStr">
        <is>
          <t>Да</t>
        </is>
      </c>
      <c r="F22" s="249" t="inlineStr">
        <is>
          <t>Коммунальные</t>
        </is>
      </c>
      <c r="G22" s="256" t="inlineStr">
        <is>
          <t>☐</t>
        </is>
      </c>
    </row>
    <row r="23" ht="15" customHeight="1" s="149">
      <c r="A23" s="251" t="inlineStr">
        <is>
          <t>Mobile plans</t>
        </is>
      </c>
      <c r="B23" s="252" t="n">
        <v>22</v>
      </c>
      <c r="C23" s="253" t="n">
        <v>2400</v>
      </c>
      <c r="D23" s="252" t="inlineStr">
        <is>
          <t>Общее</t>
        </is>
      </c>
      <c r="E23" s="254" t="inlineStr">
        <is>
          <t>Да</t>
        </is>
      </c>
      <c r="F23" s="255" t="inlineStr">
        <is>
          <t>Платежи/подписки</t>
        </is>
      </c>
      <c r="G23" s="256" t="inlineStr">
        <is>
          <t>☐</t>
        </is>
      </c>
    </row>
    <row r="24" ht="15" customHeight="1" s="149">
      <c r="A24" s="245" t="inlineStr">
        <is>
          <t>Family groceries</t>
        </is>
      </c>
      <c r="B24" s="246" t="n">
        <v>24</v>
      </c>
      <c r="C24" s="247" t="n">
        <v>22000</v>
      </c>
      <c r="D24" s="246" t="inlineStr">
        <is>
          <t>Общее</t>
        </is>
      </c>
      <c r="E24" s="248" t="inlineStr">
        <is>
          <t>Да</t>
        </is>
      </c>
      <c r="F24" s="249" t="inlineStr">
        <is>
          <t>Еда и продукты</t>
        </is>
      </c>
      <c r="G24" s="256" t="inlineStr">
        <is>
          <t>☐</t>
        </is>
      </c>
    </row>
    <row r="25" ht="15" customHeight="1" s="149">
      <c r="A25" s="251" t="inlineStr">
        <is>
          <t>Education subscription</t>
        </is>
      </c>
      <c r="B25" s="252" t="n">
        <v>25</v>
      </c>
      <c r="C25" s="253" t="n">
        <v>3000</v>
      </c>
      <c r="D25" s="252" t="inlineStr">
        <is>
          <t>User2</t>
        </is>
      </c>
      <c r="E25" s="254" t="inlineStr">
        <is>
          <t>Да</t>
        </is>
      </c>
      <c r="F25" s="255" t="inlineStr">
        <is>
          <t>Саморазвитие</t>
        </is>
      </c>
      <c r="G25" s="256" t="inlineStr">
        <is>
          <t>☐</t>
        </is>
      </c>
    </row>
    <row r="26" ht="15" customHeight="1" s="149">
      <c r="A26" s="245" t="n"/>
      <c r="B26" s="246" t="n"/>
      <c r="C26" s="247" t="n"/>
      <c r="D26" s="246" t="n"/>
      <c r="E26" s="248" t="n"/>
      <c r="F26" s="249" t="n"/>
      <c r="G26" s="256" t="n"/>
    </row>
    <row r="27" ht="15" customHeight="1" s="149">
      <c r="A27" s="251" t="n"/>
      <c r="B27" s="252" t="n"/>
      <c r="C27" s="253" t="n"/>
      <c r="D27" s="252" t="n"/>
      <c r="E27" s="254" t="n"/>
      <c r="F27" s="255" t="n"/>
      <c r="G27" s="256" t="n"/>
    </row>
    <row r="28" ht="15" customHeight="1" s="149">
      <c r="A28" s="245" t="n"/>
      <c r="B28" s="246" t="n"/>
      <c r="C28" s="247" t="n"/>
      <c r="D28" s="246" t="n"/>
      <c r="E28" s="248" t="n"/>
      <c r="F28" s="249" t="n"/>
      <c r="G28" s="256" t="n"/>
    </row>
    <row r="29" ht="15" customHeight="1" s="149">
      <c r="A29" s="251" t="n"/>
      <c r="B29" s="252" t="n"/>
      <c r="C29" s="253" t="n"/>
      <c r="D29" s="252" t="n"/>
      <c r="E29" s="254" t="n"/>
      <c r="F29" s="255" t="n"/>
      <c r="G29" s="256" t="n"/>
    </row>
    <row r="30" ht="15.75" customHeight="1" s="149">
      <c r="A30" s="245" t="n"/>
      <c r="B30" s="246" t="n"/>
      <c r="C30" s="247" t="n"/>
      <c r="D30" s="246" t="n"/>
      <c r="E30" s="248" t="n"/>
      <c r="F30" s="249" t="n"/>
      <c r="G30" s="256" t="n"/>
    </row>
    <row r="31" ht="27.75" customHeight="1" s="149">
      <c r="A31" s="251" t="n"/>
      <c r="B31" s="193" t="n"/>
      <c r="C31" s="253" t="n"/>
      <c r="D31" s="252" t="n"/>
      <c r="E31" s="254" t="n"/>
      <c r="F31" s="255" t="n"/>
      <c r="G31" s="256" t="n"/>
    </row>
    <row r="32" ht="15.75" customHeight="1" s="149">
      <c r="A32" s="245" t="n"/>
      <c r="B32" s="246" t="n"/>
      <c r="C32" s="247" t="n"/>
      <c r="D32" s="246" t="n"/>
      <c r="E32" s="248" t="n"/>
      <c r="F32" s="249" t="n"/>
      <c r="G32" s="256" t="n"/>
    </row>
    <row r="33" ht="27.75" customHeight="1" s="149"/>
    <row r="34" ht="15.75" customHeight="1" s="149">
      <c r="A34" s="261" t="inlineStr">
        <is>
          <t>ИТОГО 2-я половина</t>
        </is>
      </c>
      <c r="B34" s="258">
        <f>SUM(C22:C33)</f>
        <v/>
      </c>
      <c r="C34" s="262">
        <f>SUM(C22:C33)</f>
        <v/>
      </c>
      <c r="D34" s="263" t="n"/>
      <c r="E34" s="263" t="n"/>
      <c r="F34" s="263" t="n"/>
      <c r="G34" s="263" t="n"/>
    </row>
    <row r="35" ht="15.75" customHeight="1" s="149"/>
    <row r="36" ht="45.75" customHeight="1" s="149">
      <c r="A36" s="264" t="inlineStr">
        <is>
          <t>💰  ИТОГО ОБЯЗАТЕЛЬНЫХ В МЕСЯЦ</t>
        </is>
      </c>
      <c r="B36" s="258">
        <f>B34+B18</f>
        <v/>
      </c>
      <c r="C36" s="265">
        <f>C18+C34</f>
        <v/>
      </c>
      <c r="D36" s="266" t="n"/>
      <c r="E36" s="266" t="n"/>
      <c r="F36" s="266" t="n"/>
      <c r="G36" s="266" t="n"/>
    </row>
    <row r="37" ht="15.75" customHeight="1" s="149"/>
    <row r="38" ht="15.75" customHeight="1" s="149">
      <c r="A38" s="267" t="inlineStr">
        <is>
          <t>💡  Столбец ✅ Статус — ставь «+» когда оплатил. Суммы в синих ячейках транзакций можно менять. День «~» = плавающая дата, платишь по ситуации.</t>
        </is>
      </c>
    </row>
    <row r="39" ht="15.75" customHeight="1" s="149">
      <c r="A39" s="268" t="n"/>
    </row>
    <row r="40" ht="15.75" customHeight="1" s="149">
      <c r="A40" s="269" t="n"/>
    </row>
    <row r="41" ht="15.75" customHeight="1" s="149"/>
    <row r="42" ht="15.75" customHeight="1" s="149"/>
    <row r="43" ht="15.75" customHeight="1" s="149"/>
    <row r="44" ht="15.75" customHeight="1" s="149"/>
    <row r="45" ht="15.75" customHeight="1" s="149"/>
    <row r="46" ht="15.75" customHeight="1" s="149"/>
    <row r="47" ht="15.75" customHeight="1" s="149"/>
    <row r="48" ht="15.75" customHeight="1" s="149"/>
    <row r="49" ht="15.75" customHeight="1" s="149"/>
    <row r="50" ht="15.75" customHeight="1" s="149"/>
    <row r="51" ht="15.75" customHeight="1" s="149"/>
    <row r="52" ht="15.75" customHeight="1" s="149"/>
    <row r="53" ht="15.75" customHeight="1" s="149"/>
    <row r="54" ht="15.75" customHeight="1" s="149"/>
    <row r="55" ht="15.75" customHeight="1" s="149"/>
    <row r="56" ht="15.75" customHeight="1" s="149"/>
    <row r="57" ht="15.75" customHeight="1" s="149"/>
    <row r="58" ht="15.75" customHeight="1" s="149"/>
    <row r="59" ht="15.75" customHeight="1" s="149"/>
    <row r="60" ht="15.75" customHeight="1" s="149"/>
    <row r="61" ht="15.75" customHeight="1" s="149"/>
    <row r="62" ht="15.75" customHeight="1" s="149"/>
    <row r="63" ht="15.75" customHeight="1" s="149"/>
    <row r="64" ht="15.75" customHeight="1" s="149"/>
    <row r="65" ht="15.75" customHeight="1" s="149"/>
    <row r="66" ht="15.75" customHeight="1" s="149"/>
    <row r="67" ht="15.75" customHeight="1" s="149"/>
    <row r="68" ht="15.75" customHeight="1" s="149"/>
    <row r="69" ht="15.75" customHeight="1" s="149"/>
    <row r="70" ht="15.75" customHeight="1" s="149"/>
    <row r="71" ht="15.75" customHeight="1" s="149"/>
    <row r="72" ht="15.75" customHeight="1" s="149"/>
    <row r="73" ht="15.75" customHeight="1" s="149"/>
    <row r="74" ht="15.75" customHeight="1" s="149"/>
    <row r="75" ht="15.75" customHeight="1" s="149"/>
    <row r="76" ht="15.75" customHeight="1" s="149"/>
    <row r="77" ht="15.75" customHeight="1" s="149"/>
    <row r="78" ht="15.75" customHeight="1" s="149"/>
    <row r="79" ht="15.75" customHeight="1" s="149"/>
    <row r="80" ht="15.75" customHeight="1" s="149"/>
    <row r="81" ht="15.75" customHeight="1" s="149"/>
    <row r="82" ht="15.75" customHeight="1" s="149"/>
    <row r="83" ht="15.75" customHeight="1" s="149"/>
    <row r="84" ht="15.75" customHeight="1" s="149"/>
    <row r="85" ht="15.75" customHeight="1" s="149"/>
    <row r="86" ht="15.75" customHeight="1" s="149"/>
    <row r="87" ht="15.75" customHeight="1" s="149"/>
    <row r="88" ht="15.75" customHeight="1" s="149"/>
    <row r="89" ht="15.75" customHeight="1" s="149"/>
    <row r="90" ht="15.75" customHeight="1" s="149"/>
    <row r="91" ht="15.75" customHeight="1" s="149"/>
    <row r="92" ht="15.75" customHeight="1" s="149"/>
    <row r="93" ht="15.75" customHeight="1" s="149"/>
    <row r="94" ht="15.75" customHeight="1" s="149"/>
    <row r="95" ht="15.75" customHeight="1" s="149"/>
    <row r="96" ht="15.75" customHeight="1" s="149"/>
    <row r="97" ht="15.75" customHeight="1" s="149"/>
    <row r="98" ht="15.75" customHeight="1" s="149"/>
    <row r="99" ht="15.75" customHeight="1" s="149"/>
    <row r="100" ht="15.75" customHeight="1" s="149"/>
    <row r="101" ht="15.75" customHeight="1" s="149"/>
    <row r="102" ht="15.75" customHeight="1" s="149"/>
    <row r="103" ht="15.75" customHeight="1" s="149"/>
    <row r="104" ht="15.75" customHeight="1" s="149"/>
    <row r="105" ht="15.75" customHeight="1" s="149"/>
    <row r="106" ht="15.75" customHeight="1" s="149"/>
    <row r="107" ht="15.75" customHeight="1" s="149"/>
    <row r="108" ht="15.75" customHeight="1" s="149"/>
    <row r="109" ht="15.75" customHeight="1" s="149"/>
    <row r="110" ht="15.75" customHeight="1" s="149"/>
    <row r="111" ht="15.75" customHeight="1" s="149"/>
    <row r="112" ht="15.75" customHeight="1" s="149"/>
    <row r="113" ht="15.75" customHeight="1" s="149"/>
    <row r="114" ht="15.75" customHeight="1" s="149"/>
    <row r="115" ht="15.75" customHeight="1" s="149"/>
    <row r="116" ht="15.75" customHeight="1" s="149"/>
    <row r="117" ht="15.75" customHeight="1" s="149"/>
    <row r="118" ht="15.75" customHeight="1" s="149"/>
    <row r="119" ht="15.75" customHeight="1" s="149"/>
    <row r="120" ht="15.75" customHeight="1" s="149"/>
    <row r="121" ht="15.75" customHeight="1" s="149"/>
    <row r="122" ht="15.75" customHeight="1" s="149"/>
    <row r="123" ht="15.75" customHeight="1" s="149"/>
    <row r="124" ht="15.75" customHeight="1" s="149"/>
    <row r="125" ht="15.75" customHeight="1" s="149"/>
    <row r="126" ht="15.75" customHeight="1" s="149"/>
    <row r="127" ht="15.75" customHeight="1" s="149"/>
    <row r="128" ht="15.75" customHeight="1" s="149"/>
    <row r="129" ht="15.75" customHeight="1" s="149"/>
    <row r="130" ht="15.75" customHeight="1" s="149"/>
    <row r="131" ht="15.75" customHeight="1" s="149"/>
    <row r="132" ht="15.75" customHeight="1" s="149"/>
    <row r="133" ht="15.75" customHeight="1" s="149"/>
    <row r="134" ht="15.75" customHeight="1" s="149"/>
    <row r="135" ht="15.75" customHeight="1" s="149"/>
    <row r="136" ht="15.75" customHeight="1" s="149"/>
    <row r="137" ht="15.75" customHeight="1" s="149"/>
    <row r="138" ht="15.75" customHeight="1" s="149"/>
    <row r="139" ht="15.75" customHeight="1" s="149"/>
    <row r="140" ht="15.75" customHeight="1" s="149"/>
    <row r="141" ht="15.75" customHeight="1" s="149"/>
    <row r="142" ht="15.75" customHeight="1" s="149"/>
    <row r="143" ht="15.75" customHeight="1" s="149"/>
    <row r="144" ht="15.75" customHeight="1" s="149"/>
    <row r="145" ht="15.75" customHeight="1" s="149"/>
    <row r="146" ht="15.75" customHeight="1" s="149"/>
    <row r="147" ht="15.75" customHeight="1" s="149"/>
    <row r="148" ht="15.75" customHeight="1" s="149"/>
    <row r="149" ht="15.75" customHeight="1" s="149"/>
    <row r="150" ht="15.75" customHeight="1" s="149"/>
    <row r="151" ht="15.75" customHeight="1" s="149"/>
    <row r="152" ht="15.75" customHeight="1" s="149"/>
    <row r="153" ht="15.75" customHeight="1" s="149"/>
    <row r="154" ht="15.75" customHeight="1" s="149"/>
    <row r="155" ht="15.75" customHeight="1" s="149"/>
    <row r="156" ht="15.75" customHeight="1" s="149"/>
    <row r="157" ht="15.75" customHeight="1" s="149"/>
    <row r="158" ht="15.75" customHeight="1" s="149"/>
    <row r="159" ht="15.75" customHeight="1" s="149"/>
    <row r="160" ht="15.75" customHeight="1" s="149"/>
    <row r="161" ht="15.75" customHeight="1" s="149"/>
    <row r="162" ht="15.75" customHeight="1" s="149"/>
    <row r="163" ht="15.75" customHeight="1" s="149"/>
    <row r="164" ht="15.75" customHeight="1" s="149"/>
    <row r="165" ht="15.75" customHeight="1" s="149"/>
    <row r="166" ht="15.75" customHeight="1" s="149"/>
    <row r="167" ht="15.75" customHeight="1" s="149"/>
    <row r="168" ht="15.75" customHeight="1" s="149"/>
    <row r="169" ht="15.75" customHeight="1" s="149"/>
    <row r="170" ht="15.75" customHeight="1" s="149"/>
    <row r="171" ht="15.75" customHeight="1" s="149"/>
    <row r="172" ht="15.75" customHeight="1" s="149"/>
    <row r="173" ht="15.75" customHeight="1" s="149"/>
    <row r="174" ht="15.75" customHeight="1" s="149"/>
    <row r="175" ht="15.75" customHeight="1" s="149"/>
    <row r="176" ht="15.75" customHeight="1" s="149"/>
    <row r="177" ht="15.75" customHeight="1" s="149"/>
    <row r="178" ht="15.75" customHeight="1" s="149"/>
    <row r="179" ht="15.75" customHeight="1" s="149"/>
    <row r="180" ht="15.75" customHeight="1" s="149"/>
    <row r="181" ht="15.75" customHeight="1" s="149"/>
    <row r="182" ht="15.75" customHeight="1" s="149"/>
    <row r="183" ht="15.75" customHeight="1" s="149"/>
    <row r="184" ht="15.75" customHeight="1" s="149"/>
    <row r="185" ht="15.75" customHeight="1" s="149"/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5">
    <mergeCell ref="A1:G1"/>
    <mergeCell ref="A35:G35"/>
    <mergeCell ref="A2:G2"/>
    <mergeCell ref="A38:A40"/>
    <mergeCell ref="A31:B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1" activeCellId="0" sqref="I11"/>
    </sheetView>
  </sheetViews>
  <sheetFormatPr baseColWidth="8" defaultColWidth="14.42578125" defaultRowHeight="15" zeroHeight="0" outlineLevelRow="0"/>
  <cols>
    <col width="35.43" customWidth="1" style="148" min="1" max="1"/>
    <col width="14" customWidth="1" style="148" min="2" max="2"/>
    <col width="18" customWidth="1" style="148" min="3" max="4"/>
    <col width="14" customWidth="1" style="148" min="5" max="5"/>
    <col width="16" customWidth="1" style="148" min="6" max="7"/>
    <col width="18" customWidth="1" style="148" min="8" max="8"/>
    <col width="8.710000000000001" customWidth="1" style="148" min="9" max="9"/>
    <col width="22.74" customWidth="1" style="148" min="10" max="10"/>
    <col width="8.710000000000001" customWidth="1" style="148" min="11" max="26"/>
  </cols>
  <sheetData>
    <row r="1" ht="36" customHeight="1" s="149">
      <c r="A1" s="150" t="inlineStr">
        <is>
          <t>💳  КРЕДИТЫ И ДОЛГИ</t>
        </is>
      </c>
    </row>
    <row r="2" ht="15" customHeight="1" s="149">
      <c r="A2" s="151" t="inlineStr">
        <is>
          <t>Название</t>
        </is>
      </c>
      <c r="B2" s="151" t="inlineStr">
        <is>
          <t>Тип</t>
        </is>
      </c>
      <c r="C2" s="151" t="inlineStr">
        <is>
          <t>Остаток долга</t>
        </is>
      </c>
      <c r="D2" s="151" t="inlineStr">
        <is>
          <t>Ежемес. платёж</t>
        </is>
      </c>
      <c r="E2" s="151" t="inlineStr">
        <is>
          <t>Ставка % год.</t>
        </is>
      </c>
      <c r="F2" s="151" t="inlineStr">
        <is>
          <t>Дата открытия</t>
        </is>
      </c>
      <c r="G2" s="151" t="inlineStr">
        <is>
          <t>Дата закрытия</t>
        </is>
      </c>
      <c r="H2" s="151" t="inlineStr">
        <is>
          <t>Переплата план.</t>
        </is>
      </c>
    </row>
    <row r="3" ht="15" customHeight="1" s="149">
      <c r="A3" s="270" t="inlineStr">
        <is>
          <t>Mortgage</t>
        </is>
      </c>
      <c r="B3" s="168" t="inlineStr">
        <is>
          <t>Ипотека</t>
        </is>
      </c>
      <c r="C3" s="271" t="n">
        <v>3200000</v>
      </c>
      <c r="D3" s="159" t="n">
        <v>35000</v>
      </c>
      <c r="E3" s="164" t="n">
        <v>0.08</v>
      </c>
      <c r="F3" s="272" t="n">
        <v>45306</v>
      </c>
      <c r="G3" s="272" t="n">
        <v>52611</v>
      </c>
      <c r="H3" s="217">
        <f>IFERROR(D3*(DATEDIF(F3,G3,"M"))-C3,0)</f>
        <v/>
      </c>
    </row>
    <row r="4" ht="15" customHeight="1" s="149">
      <c r="A4" s="273" t="inlineStr">
        <is>
          <t>Car loan</t>
        </is>
      </c>
      <c r="B4" s="166" t="inlineStr">
        <is>
          <t>Кредит</t>
        </is>
      </c>
      <c r="C4" s="159" t="n">
        <v>650000</v>
      </c>
      <c r="D4" s="159" t="n">
        <v>22000</v>
      </c>
      <c r="E4" s="274" t="n">
        <v>0.12</v>
      </c>
      <c r="F4" s="272" t="n">
        <v>45809</v>
      </c>
      <c r="G4" s="272" t="n">
        <v>47270</v>
      </c>
      <c r="H4" s="275">
        <f>IFERROR(D4*(DATEDIF(F4,G4,"M"))-C4,0)</f>
        <v/>
      </c>
    </row>
    <row r="5" ht="15" customHeight="1" s="149">
      <c r="A5" s="270" t="n"/>
      <c r="B5" s="168" t="n"/>
      <c r="C5" s="159" t="n"/>
      <c r="D5" s="159" t="n"/>
      <c r="E5" s="164" t="n"/>
      <c r="F5" s="272" t="n"/>
      <c r="G5" s="272" t="n"/>
      <c r="H5" s="217" t="n"/>
    </row>
    <row r="6" ht="15" customHeight="1" s="149">
      <c r="A6" s="273" t="n"/>
      <c r="B6" s="166" t="n"/>
      <c r="C6" s="159" t="n"/>
      <c r="D6" s="159" t="n"/>
      <c r="E6" s="164" t="n"/>
      <c r="F6" s="272" t="n"/>
      <c r="G6" s="272" t="n"/>
      <c r="H6" s="275" t="n"/>
      <c r="J6" s="258" t="n"/>
    </row>
    <row r="7" ht="15" customHeight="1" s="149">
      <c r="A7" s="270" t="n"/>
      <c r="B7" s="168" t="n"/>
      <c r="C7" s="159" t="n"/>
      <c r="D7" s="159" t="n"/>
      <c r="E7" s="164" t="n"/>
      <c r="F7" s="272" t="n"/>
      <c r="G7" s="272" t="n"/>
      <c r="H7" s="217" t="n"/>
    </row>
    <row r="8" ht="15" customHeight="1" s="149">
      <c r="A8" s="273" t="n"/>
      <c r="B8" s="166" t="n"/>
      <c r="C8" s="159" t="n"/>
      <c r="D8" s="159" t="n"/>
      <c r="E8" s="164" t="n"/>
      <c r="F8" s="272" t="n"/>
      <c r="G8" s="272" t="n"/>
      <c r="H8" s="275" t="n"/>
    </row>
    <row r="9" ht="15" customHeight="1" s="149">
      <c r="A9" s="215" t="inlineStr">
        <is>
          <t>ИТОГО ДОЛГ</t>
        </is>
      </c>
      <c r="B9" s="153" t="n"/>
      <c r="C9" s="162">
        <f>SUM(C3:C8)</f>
        <v/>
      </c>
      <c r="D9" s="162">
        <f>SUM(D3:D8)</f>
        <v/>
      </c>
      <c r="E9" s="276" t="n"/>
      <c r="F9" s="276" t="n"/>
      <c r="G9" s="276" t="n"/>
      <c r="H9" s="276" t="n"/>
    </row>
    <row r="10"/>
    <row r="11" ht="15" customHeight="1" s="149">
      <c r="A11" s="277" t="inlineStr">
        <is>
          <t>💡  Остатки долгов — обновлять вручную раз в месяц (синие ячейки)</t>
        </is>
      </c>
      <c r="B11" s="152" t="n"/>
      <c r="C11" s="152" t="n"/>
      <c r="D11" s="152" t="n"/>
      <c r="E11" s="152" t="n"/>
      <c r="F11" s="152" t="n"/>
      <c r="G11" s="152" t="n"/>
      <c r="H11" s="153" t="n"/>
    </row>
    <row r="21" ht="15.75" customHeight="1" s="149"/>
    <row r="22" ht="15.75" customHeight="1" s="149"/>
    <row r="23" ht="15.75" customHeight="1" s="149"/>
    <row r="24" ht="15.75" customHeight="1" s="149"/>
    <row r="25" ht="15.75" customHeight="1" s="149"/>
    <row r="26" ht="15.75" customHeight="1" s="149"/>
    <row r="27" ht="15.75" customHeight="1" s="149"/>
    <row r="28" ht="15.75" customHeight="1" s="149"/>
    <row r="29" ht="15.75" customHeight="1" s="149"/>
    <row r="30" ht="15.75" customHeight="1" s="149"/>
    <row r="31" ht="15.75" customHeight="1" s="149"/>
    <row r="32" ht="15.75" customHeight="1" s="149"/>
    <row r="33" ht="15.75" customHeight="1" s="149"/>
    <row r="34" ht="15.75" customHeight="1" s="149"/>
    <row r="35" ht="15.75" customHeight="1" s="149"/>
    <row r="36" ht="15.75" customHeight="1" s="149"/>
    <row r="37" ht="15.75" customHeight="1" s="149"/>
    <row r="38" ht="15.75" customHeight="1" s="149"/>
    <row r="39" ht="15.75" customHeight="1" s="149"/>
    <row r="40" ht="15.75" customHeight="1" s="149"/>
    <row r="41" ht="15.75" customHeight="1" s="149"/>
    <row r="42" ht="15.75" customHeight="1" s="149"/>
    <row r="43" ht="15.75" customHeight="1" s="149"/>
    <row r="44" ht="15.75" customHeight="1" s="149"/>
    <row r="45" ht="15.75" customHeight="1" s="149"/>
    <row r="46" ht="15.75" customHeight="1" s="149"/>
    <row r="47" ht="15.75" customHeight="1" s="149"/>
    <row r="48" ht="15.75" customHeight="1" s="149"/>
    <row r="49" ht="15.75" customHeight="1" s="149"/>
    <row r="50" ht="15.75" customHeight="1" s="149"/>
    <row r="51" ht="15.75" customHeight="1" s="149"/>
    <row r="52" ht="15.75" customHeight="1" s="149"/>
    <row r="53" ht="15.75" customHeight="1" s="149"/>
    <row r="54" ht="15.75" customHeight="1" s="149"/>
    <row r="55" ht="15.75" customHeight="1" s="149"/>
    <row r="56" ht="15.75" customHeight="1" s="149"/>
    <row r="57" ht="15.75" customHeight="1" s="149"/>
    <row r="58" ht="15.75" customHeight="1" s="149"/>
    <row r="59" ht="15.75" customHeight="1" s="149"/>
    <row r="60" ht="15.75" customHeight="1" s="149"/>
    <row r="61" ht="15.75" customHeight="1" s="149"/>
    <row r="62" ht="15.75" customHeight="1" s="149"/>
    <row r="63" ht="15.75" customHeight="1" s="149"/>
    <row r="64" ht="15.75" customHeight="1" s="149"/>
    <row r="65" ht="15.75" customHeight="1" s="149"/>
    <row r="66" ht="15.75" customHeight="1" s="149"/>
    <row r="67" ht="15.75" customHeight="1" s="149"/>
    <row r="68" ht="15.75" customHeight="1" s="149"/>
    <row r="69" ht="15.75" customHeight="1" s="149"/>
    <row r="70" ht="15.75" customHeight="1" s="149"/>
    <row r="71" ht="15.75" customHeight="1" s="149"/>
    <row r="72" ht="15.75" customHeight="1" s="149"/>
    <row r="73" ht="15.75" customHeight="1" s="149"/>
    <row r="74" ht="15.75" customHeight="1" s="149"/>
    <row r="75" ht="15.75" customHeight="1" s="149"/>
    <row r="76" ht="15.75" customHeight="1" s="149"/>
    <row r="77" ht="15.75" customHeight="1" s="149"/>
    <row r="78" ht="15.75" customHeight="1" s="149"/>
    <row r="79" ht="15.75" customHeight="1" s="149"/>
    <row r="80" ht="15.75" customHeight="1" s="149"/>
    <row r="81" ht="15.75" customHeight="1" s="149"/>
    <row r="82" ht="15.75" customHeight="1" s="149"/>
    <row r="83" ht="15.75" customHeight="1" s="149"/>
    <row r="84" ht="15.75" customHeight="1" s="149"/>
    <row r="85" ht="15.75" customHeight="1" s="149"/>
    <row r="86" ht="15.75" customHeight="1" s="149"/>
    <row r="87" ht="15.75" customHeight="1" s="149"/>
    <row r="88" ht="15.75" customHeight="1" s="149"/>
    <row r="89" ht="15.75" customHeight="1" s="149"/>
    <row r="90" ht="15.75" customHeight="1" s="149"/>
    <row r="91" ht="15.75" customHeight="1" s="149"/>
    <row r="92" ht="15.75" customHeight="1" s="149"/>
    <row r="93" ht="15.75" customHeight="1" s="149"/>
    <row r="94" ht="15.75" customHeight="1" s="149"/>
    <row r="95" ht="15.75" customHeight="1" s="149"/>
    <row r="96" ht="15.75" customHeight="1" s="149"/>
    <row r="97" ht="15.75" customHeight="1" s="149"/>
    <row r="98" ht="15.75" customHeight="1" s="149"/>
    <row r="99" ht="15.75" customHeight="1" s="149"/>
    <row r="100" ht="15.75" customHeight="1" s="149"/>
    <row r="101" ht="15.75" customHeight="1" s="149"/>
    <row r="102" ht="15.75" customHeight="1" s="149"/>
    <row r="103" ht="15.75" customHeight="1" s="149"/>
    <row r="104" ht="15.75" customHeight="1" s="149"/>
    <row r="105" ht="15.75" customHeight="1" s="149"/>
    <row r="106" ht="15.75" customHeight="1" s="149"/>
    <row r="107" ht="15.75" customHeight="1" s="149"/>
    <row r="108" ht="15.75" customHeight="1" s="149"/>
    <row r="109" ht="15.75" customHeight="1" s="149"/>
    <row r="110" ht="15.75" customHeight="1" s="149"/>
    <row r="111" ht="15.75" customHeight="1" s="149"/>
    <row r="112" ht="15.75" customHeight="1" s="149"/>
    <row r="113" ht="15.75" customHeight="1" s="149"/>
    <row r="114" ht="15.75" customHeight="1" s="149"/>
    <row r="115" ht="15.75" customHeight="1" s="149"/>
    <row r="116" ht="15.75" customHeight="1" s="149"/>
    <row r="117" ht="15.75" customHeight="1" s="149"/>
    <row r="118" ht="15.75" customHeight="1" s="149"/>
    <row r="119" ht="15.75" customHeight="1" s="149"/>
    <row r="120" ht="15.75" customHeight="1" s="149"/>
    <row r="121" ht="15.75" customHeight="1" s="149"/>
    <row r="122" ht="15.75" customHeight="1" s="149"/>
    <row r="123" ht="15.75" customHeight="1" s="149"/>
    <row r="124" ht="15.75" customHeight="1" s="149"/>
    <row r="125" ht="15.75" customHeight="1" s="149"/>
    <row r="126" ht="15.75" customHeight="1" s="149"/>
    <row r="127" ht="15.75" customHeight="1" s="149"/>
    <row r="128" ht="15.75" customHeight="1" s="149"/>
    <row r="129" ht="15.75" customHeight="1" s="149"/>
    <row r="130" ht="15.75" customHeight="1" s="149"/>
    <row r="131" ht="15.75" customHeight="1" s="149"/>
    <row r="132" ht="15.75" customHeight="1" s="149"/>
    <row r="133" ht="15.75" customHeight="1" s="149"/>
    <row r="134" ht="15.75" customHeight="1" s="149"/>
    <row r="135" ht="15.75" customHeight="1" s="149"/>
    <row r="136" ht="15.75" customHeight="1" s="149"/>
    <row r="137" ht="15.75" customHeight="1" s="149"/>
    <row r="138" ht="15.75" customHeight="1" s="149"/>
    <row r="139" ht="15.75" customHeight="1" s="149"/>
    <row r="140" ht="15.75" customHeight="1" s="149"/>
    <row r="141" ht="15.75" customHeight="1" s="149"/>
    <row r="142" ht="15.75" customHeight="1" s="149"/>
    <row r="143" ht="15.75" customHeight="1" s="149"/>
    <row r="144" ht="15.75" customHeight="1" s="149"/>
    <row r="145" ht="15.75" customHeight="1" s="149"/>
    <row r="146" ht="15.75" customHeight="1" s="149"/>
    <row r="147" ht="15.75" customHeight="1" s="149"/>
    <row r="148" ht="15.75" customHeight="1" s="149"/>
    <row r="149" ht="15.75" customHeight="1" s="149"/>
    <row r="150" ht="15.75" customHeight="1" s="149"/>
    <row r="151" ht="15.75" customHeight="1" s="149"/>
    <row r="152" ht="15.75" customHeight="1" s="149"/>
    <row r="153" ht="15.75" customHeight="1" s="149"/>
    <row r="154" ht="15.75" customHeight="1" s="149"/>
    <row r="155" ht="15.75" customHeight="1" s="149"/>
    <row r="156" ht="15.75" customHeight="1" s="149"/>
    <row r="157" ht="15.75" customHeight="1" s="149"/>
    <row r="158" ht="15.75" customHeight="1" s="149"/>
    <row r="159" ht="15.75" customHeight="1" s="149"/>
    <row r="160" ht="15.75" customHeight="1" s="149"/>
    <row r="161" ht="15.75" customHeight="1" s="149"/>
    <row r="162" ht="15.75" customHeight="1" s="149"/>
    <row r="163" ht="15.75" customHeight="1" s="149"/>
    <row r="164" ht="15.75" customHeight="1" s="149"/>
    <row r="165" ht="15.75" customHeight="1" s="149"/>
    <row r="166" ht="15.75" customHeight="1" s="149"/>
    <row r="167" ht="15.75" customHeight="1" s="149"/>
    <row r="168" ht="15.75" customHeight="1" s="149"/>
    <row r="169" ht="15.75" customHeight="1" s="149"/>
    <row r="170" ht="15.75" customHeight="1" s="149"/>
    <row r="171" ht="15.75" customHeight="1" s="149"/>
    <row r="172" ht="15.75" customHeight="1" s="149"/>
    <row r="173" ht="15.75" customHeight="1" s="149"/>
    <row r="174" ht="15.75" customHeight="1" s="149"/>
    <row r="175" ht="15.75" customHeight="1" s="149"/>
    <row r="176" ht="15.75" customHeight="1" s="149"/>
    <row r="177" ht="15.75" customHeight="1" s="149"/>
    <row r="178" ht="15.75" customHeight="1" s="149"/>
    <row r="179" ht="15.75" customHeight="1" s="149"/>
    <row r="180" ht="15.75" customHeight="1" s="149"/>
    <row r="181" ht="15.75" customHeight="1" s="149"/>
    <row r="182" ht="15.75" customHeight="1" s="149"/>
    <row r="183" ht="15.75" customHeight="1" s="149"/>
    <row r="184" ht="15.75" customHeight="1" s="149"/>
    <row r="185" ht="15.75" customHeight="1" s="149"/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3">
    <mergeCell ref="A9:B9"/>
    <mergeCell ref="A11:H1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F17" activeCellId="0" sqref="F17"/>
    </sheetView>
  </sheetViews>
  <sheetFormatPr baseColWidth="8" defaultColWidth="14.42578125" defaultRowHeight="15" zeroHeight="0" outlineLevelRow="0"/>
  <cols>
    <col width="14" customWidth="1" style="278" min="1" max="1"/>
    <col width="16" customWidth="1" style="278" min="2" max="7"/>
    <col width="18" customWidth="1" style="278" min="8" max="8"/>
    <col width="16" customWidth="1" style="278" min="9" max="9"/>
    <col width="12" customWidth="1" style="278" min="10" max="10"/>
    <col width="28" customWidth="1" style="278" min="11" max="11"/>
    <col width="19.29" customWidth="1" style="278" min="12" max="12"/>
    <col width="24" customWidth="1" style="278" min="13" max="13"/>
    <col width="30.85" customWidth="1" style="278" min="14" max="14"/>
    <col width="35" customWidth="1" style="278" min="15" max="15"/>
    <col width="8.710000000000001" customWidth="1" style="148" min="16" max="26"/>
  </cols>
  <sheetData>
    <row r="1" ht="36" customHeight="1" s="149">
      <c r="A1" s="279" t="inlineStr">
        <is>
          <t>📈  ДИНАМИКА КАПИТАЛА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3" t="n"/>
    </row>
    <row r="2" ht="15" customHeight="1" s="149">
      <c r="A2" s="195" t="inlineStr">
        <is>
          <t>Месяц</t>
        </is>
      </c>
      <c r="B2" s="195" t="inlineStr">
        <is>
          <t>Счета руб</t>
        </is>
      </c>
      <c r="C2" s="195" t="inlineStr">
        <is>
          <t>Счета USD→руб</t>
        </is>
      </c>
      <c r="D2" s="195" t="inlineStr">
        <is>
          <t>Инвестиции</t>
        </is>
      </c>
      <c r="E2" s="195" t="inlineStr">
        <is>
          <t>Крипта→руб</t>
        </is>
      </c>
      <c r="F2" s="195" t="inlineStr">
        <is>
          <t>Итого активы</t>
        </is>
      </c>
      <c r="G2" s="195" t="inlineStr">
        <is>
          <t>Долги (−)</t>
        </is>
      </c>
      <c r="H2" s="195" t="inlineStr">
        <is>
          <t>Чистый капитал</t>
        </is>
      </c>
      <c r="I2" s="195" t="inlineStr">
        <is>
          <t>Δ к прошлому</t>
        </is>
      </c>
      <c r="J2" s="195" t="inlineStr">
        <is>
          <t>Δ %</t>
        </is>
      </c>
      <c r="K2" s="195" t="inlineStr">
        <is>
          <t>Примечание</t>
        </is>
      </c>
      <c r="L2" s="195" t="inlineStr">
        <is>
          <t>ЗП 5 ого числа</t>
        </is>
      </c>
      <c r="M2" s="195" t="inlineStr">
        <is>
          <t>ЗП 20 числа</t>
        </is>
      </c>
      <c r="N2" s="195" t="inlineStr">
        <is>
          <t>Коэфф зп</t>
        </is>
      </c>
      <c r="O2" s="195" t="inlineStr">
        <is>
          <t>Коэфф аванса (20 число)</t>
        </is>
      </c>
    </row>
    <row r="3" ht="15" customHeight="1" s="149">
      <c r="A3" s="280" t="inlineStr">
        <is>
          <t>2026-01</t>
        </is>
      </c>
      <c r="B3" s="281" t="n">
        <v>250000</v>
      </c>
      <c r="C3" s="281" t="n">
        <v>0</v>
      </c>
      <c r="D3" s="281" t="n">
        <v>150000</v>
      </c>
      <c r="E3" s="281" t="n">
        <v>0</v>
      </c>
      <c r="F3" s="282">
        <f>B3+C3+D3+E3</f>
        <v/>
      </c>
      <c r="G3" s="281">
        <f>'💳 Кредиты'!C9</f>
        <v/>
      </c>
      <c r="H3" s="283">
        <f>F3-G3</f>
        <v/>
      </c>
      <c r="I3" s="282">
        <f>0</f>
        <v/>
      </c>
      <c r="J3" s="284">
        <f>0</f>
        <v/>
      </c>
      <c r="K3" s="285" t="inlineStr">
        <is>
          <t>Example starting balance</t>
        </is>
      </c>
      <c r="L3" s="286" t="n"/>
      <c r="M3" s="286" t="n"/>
      <c r="N3" s="286" t="n"/>
      <c r="O3" s="286" t="n"/>
    </row>
    <row r="4" ht="15" customHeight="1" s="149">
      <c r="A4" s="280" t="inlineStr">
        <is>
          <t>2026-02</t>
        </is>
      </c>
      <c r="B4" s="281" t="n"/>
      <c r="C4" s="281" t="n">
        <v>0</v>
      </c>
      <c r="D4" s="281" t="n">
        <v>0</v>
      </c>
      <c r="E4" s="281" t="n">
        <v>0</v>
      </c>
      <c r="F4" s="282">
        <f>B4+C4+D4+E4</f>
        <v/>
      </c>
      <c r="G4" s="281" t="n"/>
      <c r="H4" s="283">
        <f>F4-G4</f>
        <v/>
      </c>
      <c r="I4" s="287">
        <f>H4-H3</f>
        <v/>
      </c>
      <c r="J4" s="288">
        <f>IFERROR(I4/H3,0)</f>
        <v/>
      </c>
      <c r="K4" s="285" t="n"/>
      <c r="L4" s="286" t="n"/>
      <c r="M4" s="286" t="n"/>
      <c r="N4" s="286" t="n"/>
      <c r="O4" s="286" t="n"/>
    </row>
    <row r="5" ht="15" customHeight="1" s="149">
      <c r="A5" s="280" t="inlineStr">
        <is>
          <t>2026-03</t>
        </is>
      </c>
      <c r="B5" s="281" t="n"/>
      <c r="C5" s="281" t="n">
        <v>0</v>
      </c>
      <c r="D5" s="281" t="n">
        <v>0</v>
      </c>
      <c r="E5" s="281" t="n">
        <v>0</v>
      </c>
      <c r="F5" s="282">
        <f>B5+C5+D5+E5</f>
        <v/>
      </c>
      <c r="G5" s="281" t="n"/>
      <c r="H5" s="283">
        <f>F5-G5</f>
        <v/>
      </c>
      <c r="I5" s="287">
        <f>H5-H4</f>
        <v/>
      </c>
      <c r="J5" s="288">
        <f>IFERROR(I5/H4,0)</f>
        <v/>
      </c>
      <c r="K5" s="285" t="n"/>
      <c r="L5" s="286" t="n"/>
      <c r="M5" s="286" t="n"/>
      <c r="N5" s="286" t="n"/>
      <c r="O5" s="286" t="n"/>
    </row>
    <row r="6" ht="15" customHeight="1" s="149">
      <c r="A6" s="280" t="inlineStr">
        <is>
          <t>2026-04</t>
        </is>
      </c>
      <c r="B6" s="281" t="n"/>
      <c r="C6" s="281" t="n">
        <v>0</v>
      </c>
      <c r="D6" s="281" t="n">
        <v>0</v>
      </c>
      <c r="E6" s="281" t="n">
        <v>0</v>
      </c>
      <c r="F6" s="282">
        <f>B6+C6+D6+E6</f>
        <v/>
      </c>
      <c r="G6" s="281" t="n"/>
      <c r="H6" s="283">
        <f>F6-G6</f>
        <v/>
      </c>
      <c r="I6" s="287">
        <f>H6-H5</f>
        <v/>
      </c>
      <c r="J6" s="288">
        <f>IFERROR(I6/H5,0)</f>
        <v/>
      </c>
      <c r="K6" s="285" t="n"/>
      <c r="L6" s="286" t="n"/>
      <c r="M6" s="286" t="n"/>
      <c r="N6" s="286" t="n"/>
      <c r="O6" s="286" t="n"/>
    </row>
    <row r="7" ht="15" customHeight="1" s="149">
      <c r="A7" s="280" t="inlineStr">
        <is>
          <t>2026-05</t>
        </is>
      </c>
      <c r="B7" s="281" t="n"/>
      <c r="C7" s="281" t="n">
        <v>0</v>
      </c>
      <c r="D7" s="281" t="n">
        <v>0</v>
      </c>
      <c r="E7" s="281" t="n">
        <v>0</v>
      </c>
      <c r="F7" s="282">
        <f>B7+C7+D7+E7</f>
        <v/>
      </c>
      <c r="G7" s="281" t="n"/>
      <c r="H7" s="283">
        <f>F7-G7</f>
        <v/>
      </c>
      <c r="I7" s="287">
        <f>H7-H6</f>
        <v/>
      </c>
      <c r="J7" s="288">
        <f>IFERROR(I7/H6,0)</f>
        <v/>
      </c>
      <c r="K7" s="285" t="n"/>
      <c r="L7" s="286" t="n"/>
      <c r="M7" s="286" t="n"/>
      <c r="N7" s="286" t="n"/>
      <c r="O7" s="286" t="n"/>
    </row>
    <row r="8" ht="15" customHeight="1" s="149">
      <c r="A8" s="280" t="inlineStr">
        <is>
          <t>2026-06</t>
        </is>
      </c>
      <c r="B8" s="281" t="n"/>
      <c r="C8" s="281" t="n">
        <v>0</v>
      </c>
      <c r="D8" s="281" t="n">
        <v>0</v>
      </c>
      <c r="E8" s="281" t="n">
        <v>0</v>
      </c>
      <c r="F8" s="282">
        <f>B8+C8+D8+E8</f>
        <v/>
      </c>
      <c r="G8" s="289" t="n"/>
      <c r="H8" s="283">
        <f>F8-G8</f>
        <v/>
      </c>
      <c r="I8" s="287">
        <f>H8-H7</f>
        <v/>
      </c>
      <c r="J8" s="288">
        <f>IFERROR(I8/H7,0)</f>
        <v/>
      </c>
      <c r="K8" s="285" t="n"/>
      <c r="L8" s="286" t="n"/>
      <c r="M8" s="286" t="n"/>
      <c r="N8" s="286" t="n"/>
      <c r="O8" s="286" t="n"/>
    </row>
    <row r="9" ht="15" customHeight="1" s="149">
      <c r="A9" s="205" t="inlineStr">
        <is>
          <t>2026-07</t>
        </is>
      </c>
      <c r="B9" s="290" t="n"/>
      <c r="C9" s="291" t="n">
        <v>0</v>
      </c>
      <c r="D9" s="291" t="n">
        <v>0</v>
      </c>
      <c r="E9" s="291" t="n">
        <v>0</v>
      </c>
      <c r="F9" s="292">
        <f>B9+C9+D9+E9</f>
        <v/>
      </c>
      <c r="G9" s="293" t="n"/>
      <c r="H9" s="294">
        <f>F9-G9</f>
        <v/>
      </c>
      <c r="I9" s="292">
        <f>H9-H8</f>
        <v/>
      </c>
      <c r="J9" s="295">
        <f>IFERROR(I9/H8,0)</f>
        <v/>
      </c>
      <c r="K9" s="296" t="n"/>
    </row>
    <row r="10" ht="15" customHeight="1" s="149">
      <c r="A10" s="205" t="inlineStr">
        <is>
          <t>2026-08</t>
        </is>
      </c>
      <c r="B10" s="290" t="n"/>
      <c r="C10" s="291" t="n">
        <v>0</v>
      </c>
      <c r="D10" s="291" t="n">
        <v>0</v>
      </c>
      <c r="E10" s="291" t="n">
        <v>0</v>
      </c>
      <c r="F10" s="297">
        <f>B10+C10+D10+E10</f>
        <v/>
      </c>
      <c r="G10" s="293" t="n"/>
      <c r="H10" s="294">
        <f>F10-G10</f>
        <v/>
      </c>
      <c r="I10" s="292">
        <f>H10-H9</f>
        <v/>
      </c>
      <c r="J10" s="295">
        <f>IFERROR(I10/H9,0)</f>
        <v/>
      </c>
      <c r="K10" s="296" t="n"/>
    </row>
    <row r="11" ht="15" customHeight="1" s="149">
      <c r="A11" s="205" t="inlineStr">
        <is>
          <t>2026-09</t>
        </is>
      </c>
      <c r="B11" s="290" t="n"/>
      <c r="C11" s="291" t="n">
        <v>0</v>
      </c>
      <c r="D11" s="291" t="n">
        <v>0</v>
      </c>
      <c r="E11" s="291" t="n">
        <v>0</v>
      </c>
      <c r="F11" s="292">
        <f>B11+C11+D11+E11</f>
        <v/>
      </c>
      <c r="G11" s="293" t="n"/>
      <c r="H11" s="294">
        <f>F11-G11</f>
        <v/>
      </c>
      <c r="I11" s="292">
        <f>H11-H10</f>
        <v/>
      </c>
      <c r="J11" s="295">
        <f>IFERROR(I11/H10,0)</f>
        <v/>
      </c>
      <c r="K11" s="296" t="n"/>
    </row>
    <row r="12" ht="15" customHeight="1" s="149">
      <c r="A12" s="205" t="inlineStr">
        <is>
          <t>2026-10</t>
        </is>
      </c>
      <c r="B12" s="290" t="n"/>
      <c r="C12" s="291" t="n">
        <v>0</v>
      </c>
      <c r="D12" s="291" t="n">
        <v>0</v>
      </c>
      <c r="E12" s="291" t="n">
        <v>0</v>
      </c>
      <c r="F12" s="297">
        <f>B12+C12+D12+E12</f>
        <v/>
      </c>
      <c r="G12" s="293" t="n"/>
      <c r="H12" s="294">
        <f>F12-G12</f>
        <v/>
      </c>
      <c r="I12" s="292">
        <f>H12-H11</f>
        <v/>
      </c>
      <c r="J12" s="295">
        <f>IFERROR(I12/H11,0)</f>
        <v/>
      </c>
      <c r="K12" s="296" t="n"/>
    </row>
    <row r="13" ht="15" customHeight="1" s="149">
      <c r="A13" s="205" t="inlineStr">
        <is>
          <t>2026-11</t>
        </is>
      </c>
      <c r="B13" s="290" t="n"/>
      <c r="C13" s="291" t="n">
        <v>0</v>
      </c>
      <c r="D13" s="291" t="n">
        <v>0</v>
      </c>
      <c r="E13" s="291" t="n">
        <v>0</v>
      </c>
      <c r="F13" s="292">
        <f>B13+C13+D13+E13</f>
        <v/>
      </c>
      <c r="G13" s="293" t="n"/>
      <c r="H13" s="294">
        <f>F13-G13</f>
        <v/>
      </c>
      <c r="I13" s="292">
        <f>H13-H12</f>
        <v/>
      </c>
      <c r="J13" s="295">
        <f>IFERROR(I13/H12,0)</f>
        <v/>
      </c>
      <c r="K13" s="296" t="n"/>
    </row>
    <row r="14" ht="15" customHeight="1" s="149">
      <c r="A14" s="205" t="inlineStr">
        <is>
          <t>2026-12</t>
        </is>
      </c>
      <c r="B14" s="290" t="n"/>
      <c r="C14" s="291" t="n">
        <v>0</v>
      </c>
      <c r="D14" s="291" t="n">
        <v>0</v>
      </c>
      <c r="E14" s="291" t="n">
        <v>0</v>
      </c>
      <c r="F14" s="297">
        <f>B14+C14+D14+E14</f>
        <v/>
      </c>
      <c r="G14" s="293" t="n"/>
      <c r="H14" s="294">
        <f>F14-G14</f>
        <v/>
      </c>
      <c r="I14" s="292">
        <f>H14-H13</f>
        <v/>
      </c>
      <c r="J14" s="295">
        <f>IFERROR(I14/H13,0)</f>
        <v/>
      </c>
      <c r="K14" s="296" t="n"/>
    </row>
    <row r="15" ht="15" customHeight="1" s="149">
      <c r="A15" s="205" t="inlineStr">
        <is>
          <t>2027-01</t>
        </is>
      </c>
      <c r="B15" s="290" t="n"/>
      <c r="C15" s="291" t="n">
        <v>0</v>
      </c>
      <c r="D15" s="291" t="n">
        <v>0</v>
      </c>
      <c r="E15" s="291" t="n">
        <v>0</v>
      </c>
      <c r="F15" s="292">
        <f>B15+C15+D15+E15</f>
        <v/>
      </c>
      <c r="G15" s="293" t="n"/>
      <c r="H15" s="294">
        <f>F15-G15</f>
        <v/>
      </c>
      <c r="I15" s="292">
        <f>H15-H14</f>
        <v/>
      </c>
      <c r="J15" s="295">
        <f>IFERROR(I15/H14,0)</f>
        <v/>
      </c>
      <c r="K15" s="296" t="n"/>
    </row>
    <row r="16" ht="15" customHeight="1" s="149">
      <c r="A16" s="205" t="inlineStr">
        <is>
          <t>2027-02</t>
        </is>
      </c>
      <c r="B16" s="290" t="n"/>
      <c r="C16" s="291" t="n">
        <v>0</v>
      </c>
      <c r="D16" s="291" t="n">
        <v>0</v>
      </c>
      <c r="E16" s="291" t="n">
        <v>0</v>
      </c>
      <c r="F16" s="297">
        <f>B16+C16+D16+E16</f>
        <v/>
      </c>
      <c r="G16" s="293" t="n"/>
      <c r="H16" s="294">
        <f>F16-G16</f>
        <v/>
      </c>
      <c r="I16" s="292">
        <f>H16-H15</f>
        <v/>
      </c>
      <c r="J16" s="295">
        <f>IFERROR(I16/H15,0)</f>
        <v/>
      </c>
      <c r="K16" s="296" t="n"/>
    </row>
    <row r="17" ht="15" customHeight="1" s="149">
      <c r="A17" s="205" t="inlineStr">
        <is>
          <t>2027-03</t>
        </is>
      </c>
      <c r="B17" s="290" t="n"/>
      <c r="C17" s="291" t="n">
        <v>0</v>
      </c>
      <c r="D17" s="291" t="n">
        <v>0</v>
      </c>
      <c r="E17" s="291" t="n">
        <v>0</v>
      </c>
      <c r="F17" s="292">
        <f>B17+C17+D17+E17</f>
        <v/>
      </c>
      <c r="G17" s="293" t="n"/>
      <c r="H17" s="294">
        <f>F17-G17</f>
        <v/>
      </c>
      <c r="I17" s="292">
        <f>H17-H16</f>
        <v/>
      </c>
      <c r="J17" s="295">
        <f>IFERROR(I17/H16,0)</f>
        <v/>
      </c>
      <c r="K17" s="296" t="n"/>
    </row>
    <row r="18" ht="15" customHeight="1" s="149">
      <c r="A18" s="205" t="inlineStr">
        <is>
          <t>2027-04</t>
        </is>
      </c>
      <c r="B18" s="290" t="n"/>
      <c r="C18" s="291" t="n">
        <v>0</v>
      </c>
      <c r="D18" s="291" t="n">
        <v>0</v>
      </c>
      <c r="E18" s="291" t="n">
        <v>0</v>
      </c>
      <c r="F18" s="297">
        <f>B18+C18+D18+E18</f>
        <v/>
      </c>
      <c r="G18" s="293" t="n"/>
      <c r="H18" s="294">
        <f>F18-G18</f>
        <v/>
      </c>
      <c r="I18" s="292">
        <f>H18-H17</f>
        <v/>
      </c>
      <c r="J18" s="295">
        <f>IFERROR(I18/H17,0)</f>
        <v/>
      </c>
      <c r="K18" s="296" t="n"/>
    </row>
    <row r="19" ht="15" customHeight="1" s="149">
      <c r="A19" s="205" t="inlineStr">
        <is>
          <t>2027-05</t>
        </is>
      </c>
      <c r="B19" s="290" t="n"/>
      <c r="C19" s="291" t="n">
        <v>0</v>
      </c>
      <c r="D19" s="291" t="n">
        <v>0</v>
      </c>
      <c r="E19" s="291" t="n">
        <v>0</v>
      </c>
      <c r="F19" s="292">
        <f>B19+C19+D19+E19</f>
        <v/>
      </c>
      <c r="G19" s="293" t="n"/>
      <c r="H19" s="294">
        <f>F19-G19</f>
        <v/>
      </c>
      <c r="I19" s="292">
        <f>H19-H18</f>
        <v/>
      </c>
      <c r="J19" s="295">
        <f>IFERROR(I19/H18,0)</f>
        <v/>
      </c>
      <c r="K19" s="296" t="n"/>
    </row>
    <row r="20" ht="15" customHeight="1" s="149">
      <c r="A20" s="205" t="inlineStr">
        <is>
          <t>2027-06</t>
        </is>
      </c>
      <c r="B20" s="290" t="n"/>
      <c r="C20" s="291" t="n">
        <v>0</v>
      </c>
      <c r="D20" s="291" t="n">
        <v>0</v>
      </c>
      <c r="E20" s="291" t="n">
        <v>0</v>
      </c>
      <c r="F20" s="297">
        <f>B20+C20+D20+E20</f>
        <v/>
      </c>
      <c r="G20" s="293" t="n"/>
      <c r="H20" s="294">
        <f>F20-G20</f>
        <v/>
      </c>
      <c r="I20" s="292">
        <f>H20-H19</f>
        <v/>
      </c>
      <c r="J20" s="295">
        <f>IFERROR(I20/H19,0)</f>
        <v/>
      </c>
      <c r="K20" s="296" t="n"/>
    </row>
    <row r="21" ht="15" customHeight="1" s="149">
      <c r="A21" s="205" t="inlineStr">
        <is>
          <t>2027-07</t>
        </is>
      </c>
      <c r="B21" s="290" t="n"/>
      <c r="C21" s="291" t="n">
        <v>0</v>
      </c>
      <c r="D21" s="291" t="n">
        <v>0</v>
      </c>
      <c r="E21" s="291" t="n">
        <v>0</v>
      </c>
      <c r="F21" s="292">
        <f>B21+C21+D21+E21</f>
        <v/>
      </c>
      <c r="G21" s="293" t="n"/>
      <c r="H21" s="294">
        <f>F21-G21</f>
        <v/>
      </c>
      <c r="I21" s="292">
        <f>H21-H20</f>
        <v/>
      </c>
      <c r="J21" s="295">
        <f>IFERROR(I21/H20,0)</f>
        <v/>
      </c>
      <c r="K21" s="296" t="n"/>
    </row>
    <row r="22" ht="15" customHeight="1" s="149">
      <c r="A22" s="205" t="inlineStr">
        <is>
          <t>2027-08</t>
        </is>
      </c>
      <c r="B22" s="290" t="n"/>
      <c r="C22" s="291" t="n">
        <v>0</v>
      </c>
      <c r="D22" s="291" t="n">
        <v>0</v>
      </c>
      <c r="E22" s="291" t="n">
        <v>0</v>
      </c>
      <c r="F22" s="297">
        <f>B22+C22+D22+E22</f>
        <v/>
      </c>
      <c r="G22" s="293" t="n"/>
      <c r="H22" s="294">
        <f>F22-G22</f>
        <v/>
      </c>
      <c r="I22" s="292">
        <f>H22-H21</f>
        <v/>
      </c>
      <c r="J22" s="295">
        <f>IFERROR(I22/H21,0)</f>
        <v/>
      </c>
      <c r="K22" s="296" t="n"/>
    </row>
    <row r="23" ht="15" customHeight="1" s="149">
      <c r="A23" s="205" t="inlineStr">
        <is>
          <t>2027-09</t>
        </is>
      </c>
      <c r="B23" s="290" t="n"/>
      <c r="C23" s="291" t="n">
        <v>0</v>
      </c>
      <c r="D23" s="291" t="n">
        <v>0</v>
      </c>
      <c r="E23" s="291" t="n">
        <v>0</v>
      </c>
      <c r="F23" s="292">
        <f>B23+C23+D23+E23</f>
        <v/>
      </c>
      <c r="G23" s="293" t="n"/>
      <c r="H23" s="294">
        <f>F23-G23</f>
        <v/>
      </c>
      <c r="I23" s="292">
        <f>H23-H22</f>
        <v/>
      </c>
      <c r="J23" s="295">
        <f>IFERROR(I23/H22,0)</f>
        <v/>
      </c>
      <c r="K23" s="296" t="n"/>
    </row>
    <row r="24" ht="15" customHeight="1" s="149">
      <c r="A24" s="205" t="inlineStr">
        <is>
          <t>2027-10</t>
        </is>
      </c>
      <c r="B24" s="290" t="n"/>
      <c r="C24" s="291" t="n">
        <v>0</v>
      </c>
      <c r="D24" s="291" t="n">
        <v>0</v>
      </c>
      <c r="E24" s="291" t="n">
        <v>0</v>
      </c>
      <c r="F24" s="297">
        <f>B24+C24+D24+E24</f>
        <v/>
      </c>
      <c r="G24" s="293" t="n"/>
      <c r="H24" s="294">
        <f>F24-G24</f>
        <v/>
      </c>
      <c r="I24" s="292">
        <f>H24-H23</f>
        <v/>
      </c>
      <c r="J24" s="295">
        <f>IFERROR(I24/H23,0)</f>
        <v/>
      </c>
      <c r="K24" s="296" t="n"/>
    </row>
    <row r="25" ht="15" customHeight="1" s="149">
      <c r="A25" s="205" t="inlineStr">
        <is>
          <t>2027-11</t>
        </is>
      </c>
      <c r="B25" s="290" t="n"/>
      <c r="C25" s="291" t="n">
        <v>0</v>
      </c>
      <c r="D25" s="291" t="n">
        <v>0</v>
      </c>
      <c r="E25" s="291" t="n">
        <v>0</v>
      </c>
      <c r="F25" s="292">
        <f>B25+C25+D25+E25</f>
        <v/>
      </c>
      <c r="G25" s="293" t="n"/>
      <c r="H25" s="294">
        <f>F25-G25</f>
        <v/>
      </c>
      <c r="I25" s="292">
        <f>H25-H24</f>
        <v/>
      </c>
      <c r="J25" s="295">
        <f>IFERROR(I25/H24,0)</f>
        <v/>
      </c>
      <c r="K25" s="296" t="n"/>
    </row>
    <row r="26" ht="15" customHeight="1" s="149">
      <c r="A26" s="205" t="inlineStr">
        <is>
          <t>2027-12</t>
        </is>
      </c>
      <c r="B26" s="290" t="n"/>
      <c r="C26" s="291" t="n">
        <v>0</v>
      </c>
      <c r="D26" s="291" t="n">
        <v>0</v>
      </c>
      <c r="E26" s="291" t="n">
        <v>0</v>
      </c>
      <c r="F26" s="297">
        <f>B26+C26+D26+E26</f>
        <v/>
      </c>
      <c r="G26" s="293" t="n"/>
      <c r="H26" s="294">
        <f>F26-G26</f>
        <v/>
      </c>
      <c r="I26" s="292">
        <f>H26-H25</f>
        <v/>
      </c>
      <c r="J26" s="295">
        <f>IFERROR(I26/H25,0)</f>
        <v/>
      </c>
      <c r="K26" s="296" t="n"/>
    </row>
    <row r="27" ht="15" customHeight="1" s="149">
      <c r="A27" s="205" t="n"/>
      <c r="B27" s="290" t="n"/>
      <c r="C27" s="291" t="n"/>
      <c r="D27" s="291" t="n"/>
      <c r="E27" s="291" t="n"/>
      <c r="F27" s="292" t="n"/>
      <c r="G27" s="293" t="n"/>
      <c r="H27" s="294" t="n"/>
      <c r="I27" s="292" t="n"/>
      <c r="J27" s="295" t="n"/>
      <c r="K27" s="296" t="n"/>
    </row>
    <row r="28" ht="15" customHeight="1" s="149">
      <c r="A28" s="205" t="n"/>
      <c r="B28" s="290" t="n"/>
      <c r="C28" s="291" t="n"/>
      <c r="D28" s="291" t="n"/>
      <c r="E28" s="291" t="n"/>
      <c r="F28" s="297" t="n"/>
      <c r="G28" s="293" t="n"/>
      <c r="H28" s="294" t="n"/>
      <c r="I28" s="292" t="n"/>
      <c r="J28" s="295" t="n"/>
      <c r="K28" s="296" t="n"/>
    </row>
    <row r="29" ht="15" customHeight="1" s="149">
      <c r="A29" s="298" t="n"/>
      <c r="B29" s="290" t="n"/>
      <c r="F29" s="299" t="n"/>
      <c r="G29" s="293" t="n"/>
      <c r="H29" s="300" t="n"/>
      <c r="I29" s="292" t="n"/>
      <c r="J29" s="295" t="n"/>
      <c r="K29" s="301" t="n"/>
    </row>
    <row r="30" ht="15.75" customHeight="1" s="149">
      <c r="A30" s="302" t="n"/>
      <c r="B30" s="290" t="n"/>
      <c r="F30" s="299" t="n"/>
      <c r="G30" s="293" t="n"/>
      <c r="H30" s="300" t="n"/>
      <c r="I30" s="292" t="n"/>
      <c r="J30" s="295" t="n"/>
      <c r="K30" s="301" t="n"/>
    </row>
    <row r="31" ht="31.5" customHeight="1" s="149">
      <c r="A31" s="298" t="n"/>
      <c r="B31" s="290" t="n"/>
      <c r="F31" s="299" t="n"/>
      <c r="G31" s="293" t="n"/>
      <c r="H31" s="300" t="n"/>
      <c r="I31" s="292" t="n"/>
      <c r="J31" s="295" t="n"/>
      <c r="K31" s="301" t="n"/>
    </row>
    <row r="32" ht="15.75" customHeight="1" s="149">
      <c r="A32" s="298" t="n"/>
      <c r="B32" s="290" t="n"/>
      <c r="F32" s="299" t="n"/>
      <c r="G32" s="293" t="n"/>
      <c r="H32" s="300" t="n"/>
      <c r="I32" s="292" t="n"/>
      <c r="J32" s="295" t="n"/>
      <c r="K32" s="301" t="n"/>
    </row>
    <row r="33" ht="15.75" customHeight="1" s="149">
      <c r="A33" s="298" t="n"/>
      <c r="B33" s="290" t="n"/>
      <c r="F33" s="299" t="n"/>
      <c r="G33" s="293" t="n"/>
      <c r="H33" s="300" t="n"/>
      <c r="I33" s="292" t="n"/>
      <c r="J33" s="295" t="n"/>
      <c r="K33" s="301" t="n"/>
    </row>
    <row r="34" ht="15.75" customHeight="1" s="149">
      <c r="A34" s="298" t="n"/>
      <c r="B34" s="290" t="n"/>
      <c r="F34" s="299" t="n"/>
      <c r="G34" s="293" t="n"/>
      <c r="H34" s="300" t="n"/>
      <c r="I34" s="292" t="n"/>
      <c r="J34" s="295" t="n"/>
      <c r="K34" s="301" t="n"/>
    </row>
    <row r="35" ht="15.75" customHeight="1" s="149">
      <c r="A35" s="298" t="n"/>
      <c r="B35" s="290" t="n"/>
      <c r="F35" s="299" t="n"/>
      <c r="G35" s="293" t="n"/>
      <c r="H35" s="300" t="n"/>
      <c r="I35" s="292" t="n"/>
      <c r="J35" s="295" t="n"/>
      <c r="K35" s="301" t="n"/>
    </row>
    <row r="36" ht="15.75" customHeight="1" s="149">
      <c r="A36" s="298" t="n"/>
      <c r="B36" s="300" t="n"/>
      <c r="F36" s="300" t="n"/>
      <c r="G36" s="293" t="n"/>
      <c r="H36" s="300" t="n"/>
      <c r="I36" s="292" t="n"/>
      <c r="J36" s="295" t="n"/>
      <c r="K36" s="301" t="n"/>
    </row>
    <row r="37" ht="15.75" customHeight="1" s="149">
      <c r="A37" s="298" t="n"/>
      <c r="B37" s="300" t="n"/>
      <c r="F37" s="300" t="n"/>
      <c r="G37" s="293" t="n"/>
      <c r="H37" s="300" t="n"/>
      <c r="I37" s="292" t="n"/>
      <c r="J37" s="295" t="n"/>
      <c r="K37" s="301" t="n"/>
    </row>
    <row r="38" ht="15.75" customHeight="1" s="149">
      <c r="A38" s="298" t="n"/>
      <c r="B38" s="300" t="n"/>
      <c r="F38" s="300" t="n"/>
      <c r="G38" s="293" t="n"/>
      <c r="H38" s="300" t="n"/>
      <c r="I38" s="292" t="n"/>
      <c r="J38" s="295" t="n"/>
      <c r="K38" s="301" t="n"/>
    </row>
    <row r="39" ht="15.75" customHeight="1" s="149">
      <c r="A39" s="298" t="n"/>
      <c r="B39" s="300" t="n"/>
      <c r="F39" s="300" t="n"/>
      <c r="G39" s="293" t="n"/>
      <c r="H39" s="300" t="n"/>
      <c r="I39" s="292" t="n"/>
      <c r="J39" s="295" t="n"/>
      <c r="K39" s="301" t="n"/>
    </row>
    <row r="40" ht="15.75" customHeight="1" s="149">
      <c r="A40" s="298" t="n"/>
      <c r="B40" s="300" t="n"/>
      <c r="F40" s="300" t="n"/>
      <c r="G40" s="293" t="n"/>
      <c r="H40" s="300" t="n"/>
      <c r="I40" s="292" t="n"/>
      <c r="J40" s="295" t="n"/>
      <c r="K40" s="301" t="n"/>
    </row>
    <row r="41" ht="15.75" customHeight="1" s="149">
      <c r="A41" s="298" t="n"/>
      <c r="B41" s="300" t="n"/>
      <c r="F41" s="300" t="n"/>
      <c r="G41" s="293" t="n"/>
      <c r="H41" s="300" t="n"/>
      <c r="I41" s="292" t="n"/>
      <c r="J41" s="295" t="n"/>
      <c r="K41" s="301" t="n"/>
    </row>
    <row r="42" ht="15.75" customHeight="1" s="149">
      <c r="A42" s="298" t="n"/>
      <c r="B42" s="300" t="n"/>
      <c r="F42" s="300" t="n"/>
      <c r="G42" s="293" t="n"/>
      <c r="H42" s="300" t="n"/>
      <c r="I42" s="292" t="n"/>
      <c r="J42" s="295" t="n"/>
      <c r="K42" s="301" t="n"/>
    </row>
    <row r="43" ht="15.75" customHeight="1" s="149">
      <c r="A43" s="298" t="n"/>
      <c r="B43" s="300" t="n"/>
      <c r="F43" s="300" t="n"/>
      <c r="G43" s="293" t="n"/>
      <c r="H43" s="300" t="n"/>
      <c r="I43" s="292" t="n"/>
      <c r="J43" s="295" t="n"/>
      <c r="K43" s="301" t="n"/>
    </row>
    <row r="44" ht="15.75" customHeight="1" s="149">
      <c r="A44" s="298" t="n"/>
      <c r="B44" s="300" t="n"/>
      <c r="F44" s="300" t="n"/>
      <c r="G44" s="293" t="n"/>
      <c r="H44" s="300" t="n"/>
      <c r="I44" s="292" t="n"/>
      <c r="J44" s="295" t="n"/>
      <c r="K44" s="301" t="n"/>
    </row>
    <row r="45" ht="15.75" customHeight="1" s="149">
      <c r="A45" s="298" t="n"/>
      <c r="B45" s="300" t="n"/>
      <c r="F45" s="300" t="n"/>
      <c r="G45" s="293" t="n"/>
      <c r="H45" s="300" t="n"/>
      <c r="I45" s="292" t="n"/>
      <c r="J45" s="295" t="n"/>
      <c r="K45" s="301" t="n"/>
    </row>
    <row r="46" ht="15.75" customHeight="1" s="149">
      <c r="A46" s="298" t="n"/>
      <c r="B46" s="300" t="n"/>
      <c r="F46" s="300" t="n"/>
      <c r="G46" s="293" t="n"/>
      <c r="H46" s="300" t="n"/>
      <c r="I46" s="292" t="n"/>
      <c r="J46" s="295" t="n"/>
      <c r="K46" s="301" t="n"/>
    </row>
    <row r="47" ht="15.75" customHeight="1" s="149">
      <c r="A47" s="298" t="n"/>
      <c r="B47" s="300" t="n"/>
      <c r="F47" s="300" t="n"/>
      <c r="G47" s="293" t="n"/>
      <c r="H47" s="300" t="n"/>
      <c r="I47" s="292" t="n"/>
      <c r="J47" s="295" t="n"/>
      <c r="K47" s="301" t="n"/>
    </row>
    <row r="48" ht="15.75" customHeight="1" s="149">
      <c r="A48" s="298" t="n"/>
      <c r="B48" s="300" t="n"/>
      <c r="F48" s="300" t="n"/>
      <c r="G48" s="293" t="n"/>
      <c r="H48" s="300" t="n"/>
      <c r="I48" s="292" t="n"/>
      <c r="J48" s="295" t="n"/>
      <c r="K48" s="301" t="n"/>
    </row>
    <row r="49" ht="15.75" customHeight="1" s="149">
      <c r="A49" s="298" t="n"/>
      <c r="B49" s="300" t="n"/>
      <c r="F49" s="300" t="n"/>
      <c r="G49" s="293" t="n"/>
      <c r="H49" s="300" t="n"/>
      <c r="I49" s="292" t="n"/>
      <c r="J49" s="295" t="n"/>
      <c r="K49" s="301" t="n"/>
    </row>
    <row r="50" ht="15.75" customHeight="1" s="149">
      <c r="A50" s="298" t="n"/>
      <c r="B50" s="300" t="n"/>
      <c r="F50" s="300" t="n"/>
      <c r="G50" s="293" t="n"/>
      <c r="H50" s="300" t="n"/>
      <c r="I50" s="292" t="n"/>
      <c r="J50" s="295" t="n"/>
      <c r="K50" s="301" t="n"/>
    </row>
    <row r="51" ht="15.75" customHeight="1" s="149">
      <c r="A51" s="298" t="n"/>
      <c r="B51" s="300" t="n"/>
      <c r="F51" s="300" t="n"/>
      <c r="G51" s="293" t="n"/>
      <c r="H51" s="300" t="n"/>
      <c r="I51" s="292" t="n"/>
      <c r="J51" s="295" t="n"/>
      <c r="K51" s="301" t="n"/>
    </row>
    <row r="52" ht="15.75" customHeight="1" s="149">
      <c r="A52" s="298" t="n"/>
      <c r="B52" s="300" t="n"/>
      <c r="F52" s="300" t="n"/>
      <c r="G52" s="293" t="n"/>
      <c r="H52" s="300" t="n"/>
      <c r="I52" s="292" t="n"/>
      <c r="J52" s="295" t="n"/>
      <c r="K52" s="301" t="n"/>
    </row>
    <row r="53" ht="15.75" customHeight="1" s="149">
      <c r="A53" s="298" t="n"/>
      <c r="B53" s="300" t="n"/>
      <c r="F53" s="300" t="n"/>
      <c r="G53" s="293" t="n"/>
      <c r="H53" s="300" t="n"/>
      <c r="I53" s="292" t="n"/>
      <c r="J53" s="295" t="n"/>
      <c r="K53" s="301" t="n"/>
    </row>
    <row r="54" ht="15.75" customHeight="1" s="149">
      <c r="A54" s="298" t="n"/>
      <c r="B54" s="300" t="n"/>
      <c r="F54" s="300" t="n"/>
      <c r="G54" s="293" t="n"/>
      <c r="H54" s="300" t="n"/>
      <c r="I54" s="292" t="n"/>
      <c r="J54" s="295" t="n"/>
      <c r="K54" s="301" t="n"/>
    </row>
    <row r="55" ht="15.75" customHeight="1" s="149">
      <c r="A55" s="298" t="n"/>
      <c r="B55" s="300" t="n"/>
      <c r="F55" s="300" t="n"/>
      <c r="G55" s="293" t="n"/>
      <c r="H55" s="300" t="n"/>
      <c r="I55" s="292" t="n"/>
      <c r="J55" s="295" t="n"/>
      <c r="K55" s="301" t="n"/>
    </row>
    <row r="56" ht="15.75" customHeight="1" s="149">
      <c r="A56" s="298" t="n"/>
      <c r="B56" s="300" t="n"/>
      <c r="F56" s="300" t="n"/>
      <c r="G56" s="293" t="n"/>
      <c r="H56" s="300" t="n"/>
      <c r="I56" s="292" t="n"/>
      <c r="J56" s="295" t="n"/>
      <c r="K56" s="301" t="n"/>
    </row>
    <row r="57" ht="15.75" customHeight="1" s="149">
      <c r="A57" s="298" t="n"/>
      <c r="B57" s="300" t="n"/>
      <c r="F57" s="300" t="n"/>
      <c r="G57" s="293" t="n"/>
      <c r="H57" s="300" t="n"/>
      <c r="I57" s="292" t="n"/>
      <c r="J57" s="295" t="n"/>
      <c r="K57" s="301" t="n"/>
    </row>
    <row r="58" ht="15.75" customHeight="1" s="149">
      <c r="A58" s="298" t="n"/>
      <c r="B58" s="300" t="n"/>
      <c r="F58" s="300" t="n"/>
      <c r="G58" s="293" t="n"/>
      <c r="H58" s="300" t="n"/>
      <c r="I58" s="292" t="n"/>
      <c r="J58" s="295" t="n"/>
      <c r="K58" s="301" t="n"/>
    </row>
    <row r="59" ht="15.75" customHeight="1" s="149">
      <c r="A59" s="298" t="n"/>
      <c r="B59" s="300" t="n"/>
      <c r="F59" s="300" t="n"/>
      <c r="G59" s="293" t="n"/>
      <c r="H59" s="300" t="n"/>
      <c r="I59" s="292" t="n"/>
      <c r="J59" s="295" t="n"/>
      <c r="K59" s="301" t="n"/>
    </row>
    <row r="60" ht="15.75" customHeight="1" s="149">
      <c r="A60" s="298" t="n"/>
      <c r="B60" s="300" t="n"/>
      <c r="F60" s="300" t="n"/>
      <c r="G60" s="293" t="n"/>
      <c r="H60" s="300" t="n"/>
      <c r="I60" s="292" t="n"/>
      <c r="J60" s="295" t="n"/>
      <c r="K60" s="301" t="n"/>
    </row>
    <row r="61" ht="15.75" customHeight="1" s="149">
      <c r="A61" s="298" t="n"/>
      <c r="B61" s="300" t="n"/>
      <c r="F61" s="300" t="n"/>
      <c r="G61" s="293" t="n"/>
      <c r="H61" s="300" t="n"/>
      <c r="I61" s="292" t="n"/>
      <c r="J61" s="295" t="n"/>
      <c r="K61" s="301" t="n"/>
    </row>
    <row r="62" ht="15.75" customHeight="1" s="149">
      <c r="A62" s="298" t="n"/>
      <c r="B62" s="300" t="n"/>
      <c r="F62" s="300" t="n"/>
      <c r="G62" s="293" t="n"/>
      <c r="H62" s="300" t="n"/>
      <c r="I62" s="292" t="n"/>
      <c r="J62" s="295" t="n"/>
      <c r="K62" s="301" t="n"/>
    </row>
    <row r="63" ht="15.75" customHeight="1" s="149">
      <c r="A63" s="298" t="n"/>
      <c r="B63" s="300" t="n"/>
      <c r="F63" s="300" t="n"/>
      <c r="G63" s="293" t="n"/>
      <c r="H63" s="300" t="n"/>
      <c r="I63" s="292" t="n"/>
      <c r="J63" s="295" t="n"/>
      <c r="K63" s="301" t="n"/>
    </row>
    <row r="64" ht="15.75" customHeight="1" s="149">
      <c r="A64" s="298" t="n"/>
      <c r="B64" s="300" t="n"/>
      <c r="F64" s="300" t="n"/>
      <c r="G64" s="293" t="n"/>
      <c r="H64" s="300" t="n"/>
      <c r="I64" s="292" t="n"/>
      <c r="J64" s="295" t="n"/>
      <c r="K64" s="301" t="n"/>
    </row>
    <row r="65" ht="15.75" customHeight="1" s="149">
      <c r="A65" s="298" t="n"/>
      <c r="B65" s="300" t="n"/>
      <c r="F65" s="300" t="n"/>
      <c r="G65" s="293" t="n"/>
      <c r="H65" s="300" t="n"/>
      <c r="I65" s="292" t="n"/>
      <c r="J65" s="295" t="n"/>
      <c r="K65" s="301" t="n"/>
    </row>
    <row r="66" ht="15.75" customHeight="1" s="149">
      <c r="A66" s="298" t="n"/>
      <c r="B66" s="300" t="n"/>
      <c r="F66" s="300" t="n"/>
      <c r="G66" s="293" t="n"/>
      <c r="H66" s="300" t="n"/>
      <c r="I66" s="292" t="n"/>
      <c r="J66" s="295" t="n"/>
      <c r="K66" s="301" t="n"/>
    </row>
    <row r="67" ht="15.75" customHeight="1" s="149">
      <c r="A67" s="298" t="n"/>
      <c r="B67" s="300" t="n"/>
      <c r="F67" s="300" t="n"/>
      <c r="G67" s="293" t="n"/>
      <c r="H67" s="300" t="n"/>
      <c r="I67" s="292" t="n"/>
      <c r="J67" s="295" t="n"/>
      <c r="K67" s="301" t="n"/>
    </row>
    <row r="68" ht="15.75" customHeight="1" s="149">
      <c r="A68" s="298" t="n"/>
      <c r="B68" s="300" t="n"/>
      <c r="F68" s="300" t="n"/>
      <c r="G68" s="293" t="n"/>
      <c r="H68" s="300" t="n"/>
      <c r="I68" s="292" t="n"/>
      <c r="J68" s="295" t="n"/>
      <c r="K68" s="301" t="n"/>
    </row>
    <row r="69" ht="15.75" customHeight="1" s="149">
      <c r="A69" s="298" t="n"/>
      <c r="B69" s="300" t="n"/>
      <c r="F69" s="300" t="n"/>
      <c r="G69" s="293" t="n"/>
      <c r="H69" s="300" t="n"/>
      <c r="I69" s="292" t="n"/>
      <c r="J69" s="295" t="n"/>
      <c r="K69" s="301" t="n"/>
    </row>
    <row r="70" ht="15.75" customHeight="1" s="149">
      <c r="A70" s="298" t="n"/>
      <c r="B70" s="300" t="n"/>
      <c r="F70" s="300" t="n"/>
      <c r="G70" s="293" t="n"/>
      <c r="H70" s="300" t="n"/>
      <c r="I70" s="292" t="n"/>
      <c r="J70" s="295" t="n"/>
      <c r="K70" s="301" t="n"/>
    </row>
    <row r="71" ht="15.75" customHeight="1" s="149">
      <c r="A71" s="298" t="n"/>
      <c r="B71" s="300" t="n"/>
      <c r="F71" s="300" t="n"/>
      <c r="G71" s="293" t="n"/>
      <c r="H71" s="300" t="n"/>
      <c r="I71" s="292" t="n"/>
      <c r="J71" s="295" t="n"/>
      <c r="K71" s="301" t="n"/>
    </row>
    <row r="72" ht="15.75" customHeight="1" s="149">
      <c r="A72" s="298" t="n"/>
      <c r="B72" s="300" t="n"/>
      <c r="F72" s="300" t="n"/>
      <c r="G72" s="293" t="n"/>
      <c r="H72" s="300" t="n"/>
      <c r="I72" s="292" t="n"/>
      <c r="J72" s="295" t="n"/>
      <c r="K72" s="301" t="n"/>
    </row>
    <row r="73" ht="15.75" customHeight="1" s="149">
      <c r="A73" s="298" t="n"/>
      <c r="B73" s="300" t="n"/>
      <c r="F73" s="300" t="n"/>
      <c r="G73" s="293" t="n"/>
      <c r="H73" s="300" t="n"/>
      <c r="I73" s="292" t="n"/>
      <c r="J73" s="295" t="n"/>
      <c r="K73" s="301" t="n"/>
    </row>
    <row r="74" ht="15.75" customHeight="1" s="149">
      <c r="A74" s="298" t="n"/>
      <c r="B74" s="300" t="n"/>
      <c r="F74" s="300" t="n"/>
      <c r="G74" s="293" t="n"/>
      <c r="H74" s="300" t="n"/>
      <c r="I74" s="292" t="n"/>
      <c r="J74" s="295" t="n"/>
      <c r="K74" s="301" t="n"/>
    </row>
    <row r="75" ht="15.75" customHeight="1" s="149">
      <c r="A75" s="298" t="n"/>
      <c r="B75" s="300" t="n"/>
      <c r="F75" s="300" t="n"/>
      <c r="G75" s="293" t="n"/>
      <c r="H75" s="300" t="n"/>
      <c r="I75" s="292" t="n"/>
      <c r="J75" s="295" t="n"/>
      <c r="K75" s="301" t="n"/>
    </row>
    <row r="76" ht="15.75" customHeight="1" s="149">
      <c r="A76" s="298" t="n"/>
      <c r="B76" s="300" t="n"/>
      <c r="F76" s="300" t="n"/>
      <c r="G76" s="293" t="n"/>
      <c r="H76" s="300" t="n"/>
      <c r="I76" s="292" t="n"/>
      <c r="J76" s="295" t="n"/>
      <c r="K76" s="301" t="n"/>
    </row>
    <row r="77" ht="15.75" customHeight="1" s="149">
      <c r="G77" s="293" t="n"/>
      <c r="I77" s="292" t="n"/>
      <c r="J77" s="295" t="n"/>
    </row>
    <row r="78" ht="15.75" customHeight="1" s="149">
      <c r="A78" s="301" t="n"/>
      <c r="G78" s="293" t="n"/>
    </row>
    <row r="79" ht="15.75" customHeight="1" s="149">
      <c r="G79" s="293" t="n"/>
    </row>
    <row r="80" ht="15.75" customHeight="1" s="149">
      <c r="G80" s="293" t="n"/>
    </row>
    <row r="81" ht="15.75" customHeight="1" s="149"/>
    <row r="82" ht="15.75" customHeight="1" s="149"/>
    <row r="83" ht="15.75" customHeight="1" s="149"/>
    <row r="84" ht="15.75" customHeight="1" s="149"/>
    <row r="85" ht="15.75" customHeight="1" s="149"/>
    <row r="86" ht="15.75" customHeight="1" s="149"/>
    <row r="87" ht="15.75" customHeight="1" s="149"/>
    <row r="88" ht="15.75" customHeight="1" s="149"/>
    <row r="89" ht="15.75" customHeight="1" s="149"/>
    <row r="90" ht="15.75" customHeight="1" s="149"/>
    <row r="91" ht="15.75" customHeight="1" s="149"/>
    <row r="92" ht="15.75" customHeight="1" s="149"/>
    <row r="93" ht="15.75" customHeight="1" s="149"/>
    <row r="94" ht="15.75" customHeight="1" s="149"/>
    <row r="95" ht="15.75" customHeight="1" s="149"/>
    <row r="96" ht="15.75" customHeight="1" s="149"/>
    <row r="97" ht="15.75" customHeight="1" s="149"/>
    <row r="98" ht="15.75" customHeight="1" s="149"/>
    <row r="99" ht="15.75" customHeight="1" s="149"/>
    <row r="100" ht="15.75" customHeight="1" s="149"/>
    <row r="101" ht="15.75" customHeight="1" s="149"/>
    <row r="102" ht="15.75" customHeight="1" s="149"/>
    <row r="103" ht="15.75" customHeight="1" s="149"/>
    <row r="104" ht="15.75" customHeight="1" s="149"/>
    <row r="105" ht="15.75" customHeight="1" s="149"/>
    <row r="106" ht="15.75" customHeight="1" s="149"/>
    <row r="107" ht="15.75" customHeight="1" s="149"/>
    <row r="108" ht="15.75" customHeight="1" s="149"/>
    <row r="109" ht="15.75" customHeight="1" s="149"/>
    <row r="110" ht="15.75" customHeight="1" s="149"/>
    <row r="111" ht="15.75" customHeight="1" s="149"/>
    <row r="112" ht="15.75" customHeight="1" s="149"/>
    <row r="113" ht="15.75" customHeight="1" s="149"/>
    <row r="114" ht="15.75" customHeight="1" s="149"/>
    <row r="115" ht="15.75" customHeight="1" s="149"/>
    <row r="116" ht="15.75" customHeight="1" s="149"/>
    <row r="117" ht="15.75" customHeight="1" s="149"/>
    <row r="118" ht="15.75" customHeight="1" s="149"/>
    <row r="119" ht="15.75" customHeight="1" s="149"/>
    <row r="120" ht="15.75" customHeight="1" s="149"/>
    <row r="121" ht="15.75" customHeight="1" s="149"/>
    <row r="122" ht="15.75" customHeight="1" s="149"/>
    <row r="123" ht="15.75" customHeight="1" s="149"/>
    <row r="124" ht="15.75" customHeight="1" s="149"/>
    <row r="125" ht="15.75" customHeight="1" s="149"/>
    <row r="126" ht="15.75" customHeight="1" s="149"/>
    <row r="127" ht="15.75" customHeight="1" s="149"/>
    <row r="128" ht="15.75" customHeight="1" s="149"/>
    <row r="129" ht="15.75" customHeight="1" s="149"/>
    <row r="130" ht="15.75" customHeight="1" s="149"/>
    <row r="131" ht="15.75" customHeight="1" s="149"/>
    <row r="132" ht="15.75" customHeight="1" s="149"/>
    <row r="133" ht="15.75" customHeight="1" s="149"/>
    <row r="134" ht="15.75" customHeight="1" s="149"/>
    <row r="135" ht="15.75" customHeight="1" s="149"/>
    <row r="136" ht="15.75" customHeight="1" s="149"/>
    <row r="137" ht="15.75" customHeight="1" s="149"/>
    <row r="138" ht="15.75" customHeight="1" s="149"/>
    <row r="139" ht="15.75" customHeight="1" s="149"/>
    <row r="140" ht="15.75" customHeight="1" s="149"/>
    <row r="141" ht="15.75" customHeight="1" s="149"/>
    <row r="142" ht="15.75" customHeight="1" s="149"/>
    <row r="143" ht="15.75" customHeight="1" s="149"/>
    <row r="144" ht="15.75" customHeight="1" s="149"/>
    <row r="145" ht="15.75" customHeight="1" s="149"/>
    <row r="146" ht="15.75" customHeight="1" s="149"/>
    <row r="147" ht="15.75" customHeight="1" s="149"/>
    <row r="148" ht="15.75" customHeight="1" s="149"/>
    <row r="149" ht="15.75" customHeight="1" s="149"/>
    <row r="150" ht="15.75" customHeight="1" s="149"/>
    <row r="151" ht="15.75" customHeight="1" s="149"/>
    <row r="152" ht="15.75" customHeight="1" s="149"/>
    <row r="153" ht="15.75" customHeight="1" s="149"/>
    <row r="154" ht="15.75" customHeight="1" s="149"/>
    <row r="155" ht="15.75" customHeight="1" s="149"/>
    <row r="156" ht="15.75" customHeight="1" s="149"/>
    <row r="157" ht="15.75" customHeight="1" s="149"/>
    <row r="158" ht="15.75" customHeight="1" s="149"/>
    <row r="159" ht="15.75" customHeight="1" s="149"/>
    <row r="160" ht="15.75" customHeight="1" s="149"/>
    <row r="161" ht="15.75" customHeight="1" s="149"/>
    <row r="162" ht="15.75" customHeight="1" s="149"/>
    <row r="163" ht="15.75" customHeight="1" s="149"/>
    <row r="164" ht="15.75" customHeight="1" s="149"/>
    <row r="165" ht="15.75" customHeight="1" s="149"/>
    <row r="166" ht="15.75" customHeight="1" s="149"/>
    <row r="167" ht="15.75" customHeight="1" s="149"/>
    <row r="168" ht="15.75" customHeight="1" s="149"/>
    <row r="169" ht="15.75" customHeight="1" s="149"/>
    <row r="170" ht="15.75" customHeight="1" s="149"/>
    <row r="171" ht="15.75" customHeight="1" s="149"/>
    <row r="172" ht="15.75" customHeight="1" s="149"/>
    <row r="173" ht="15.75" customHeight="1" s="149"/>
    <row r="174" ht="15.75" customHeight="1" s="149"/>
    <row r="175" ht="15.75" customHeight="1" s="149"/>
    <row r="176" ht="15.75" customHeight="1" s="149"/>
    <row r="177" ht="15.75" customHeight="1" s="149"/>
    <row r="178" ht="15.75" customHeight="1" s="149"/>
    <row r="179" ht="15.75" customHeight="1" s="149"/>
    <row r="180" ht="15.75" customHeight="1" s="149"/>
    <row r="181" ht="15.75" customHeight="1" s="149"/>
    <row r="182" ht="15.75" customHeight="1" s="149"/>
    <row r="183" ht="15.75" customHeight="1" s="149"/>
    <row r="184" ht="15.75" customHeight="1" s="149"/>
    <row r="185" ht="15.75" customHeight="1" s="149"/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2026-04-09T11:59:44Z</dcterms:created>
  <dcterms:modified xsi:type="dcterms:W3CDTF">2026-04-29T12:38:37Z</dcterms:modified>
  <cp:revision>10</cp:revision>
</cp:coreProperties>
</file>